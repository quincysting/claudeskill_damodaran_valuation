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1_{E7CDF82A-AAFE-47AD-9D30-800A5A581F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ver" sheetId="1" r:id="rId1"/>
    <sheet name="Summary" sheetId="2" r:id="rId2"/>
    <sheet name="Inputs" sheetId="3" r:id="rId3"/>
    <sheet name="Scenarios" sheetId="4" r:id="rId4"/>
    <sheet name="Sensitivity" sheetId="5" r:id="rId5"/>
    <sheet name="WACC" sheetId="6" r:id="rId6"/>
    <sheet name="DCF" sheetId="7" r:id="rId7"/>
    <sheet name="Diagnostics" sheetId="8" r:id="rId8"/>
    <sheet name="Checks" sheetId="9" r:id="rId9"/>
    <sheet name="Sources" sheetId="10" r:id="rId10"/>
  </sheets>
  <definedNames>
    <definedName name="AllChecksPass">Checks!$F$14</definedName>
    <definedName name="OperatingAssets">DCF!$C$39</definedName>
    <definedName name="_xlnm.Print_Area" localSheetId="1">Summary!$A$1:$S$40</definedName>
    <definedName name="SharePrice">Inputs!$C$6</definedName>
    <definedName name="ValuePerShare">DCF!$C$49</definedName>
    <definedName name="WACC_Initial">WACC!$C$13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9" l="1"/>
  <c r="D10" i="9"/>
  <c r="E6" i="9"/>
  <c r="D6" i="9"/>
  <c r="F6" i="9" s="1"/>
  <c r="C23" i="8"/>
  <c r="C19" i="8"/>
  <c r="C15" i="8"/>
  <c r="C7" i="8"/>
  <c r="C56" i="7"/>
  <c r="C57" i="7" s="1"/>
  <c r="C10" i="7" s="1"/>
  <c r="C55" i="7"/>
  <c r="C50" i="7"/>
  <c r="C48" i="7"/>
  <c r="G15" i="2" s="1"/>
  <c r="C45" i="7"/>
  <c r="G12" i="2" s="1"/>
  <c r="C44" i="7"/>
  <c r="G11" i="2" s="1"/>
  <c r="C42" i="7"/>
  <c r="G9" i="2" s="1"/>
  <c r="C41" i="7"/>
  <c r="G8" i="2" s="1"/>
  <c r="C40" i="7"/>
  <c r="C29" i="7"/>
  <c r="C28" i="7"/>
  <c r="C31" i="7" s="1"/>
  <c r="C22" i="7"/>
  <c r="M14" i="7"/>
  <c r="L14" i="7"/>
  <c r="K14" i="7"/>
  <c r="J14" i="7"/>
  <c r="I14" i="7"/>
  <c r="C12" i="7"/>
  <c r="N11" i="7"/>
  <c r="D11" i="7"/>
  <c r="E11" i="7" s="1"/>
  <c r="F11" i="7" s="1"/>
  <c r="G11" i="7" s="1"/>
  <c r="H11" i="7" s="1"/>
  <c r="I11" i="7" s="1"/>
  <c r="J11" i="7" s="1"/>
  <c r="K11" i="7" s="1"/>
  <c r="L11" i="7" s="1"/>
  <c r="M11" i="7" s="1"/>
  <c r="C11" i="7"/>
  <c r="D9" i="7"/>
  <c r="C8" i="7"/>
  <c r="C6" i="6"/>
  <c r="C5" i="6"/>
  <c r="C12" i="6" s="1"/>
  <c r="C13" i="6" s="1"/>
  <c r="I15" i="5"/>
  <c r="K17" i="4"/>
  <c r="L17" i="4" s="1"/>
  <c r="K16" i="4"/>
  <c r="C29" i="2" s="1"/>
  <c r="D29" i="2" s="1"/>
  <c r="E16" i="4"/>
  <c r="D16" i="4"/>
  <c r="K15" i="4"/>
  <c r="C28" i="2" s="1"/>
  <c r="D28" i="2" s="1"/>
  <c r="E15" i="4"/>
  <c r="D15" i="4"/>
  <c r="K14" i="4"/>
  <c r="C27" i="2" s="1"/>
  <c r="D27" i="2" s="1"/>
  <c r="K13" i="4"/>
  <c r="L13" i="4" s="1"/>
  <c r="E13" i="4"/>
  <c r="D13" i="4"/>
  <c r="K12" i="4"/>
  <c r="C25" i="2" s="1"/>
  <c r="D25" i="2" s="1"/>
  <c r="J12" i="4"/>
  <c r="I12" i="4"/>
  <c r="H12" i="4"/>
  <c r="G12" i="4"/>
  <c r="K11" i="4"/>
  <c r="L11" i="4" s="1"/>
  <c r="K10" i="4"/>
  <c r="L10" i="4" s="1"/>
  <c r="E10" i="4"/>
  <c r="K9" i="4"/>
  <c r="C22" i="2" s="1"/>
  <c r="D22" i="2" s="1"/>
  <c r="H9" i="4"/>
  <c r="K8" i="4"/>
  <c r="L8" i="4" s="1"/>
  <c r="J8" i="4"/>
  <c r="J15" i="4" s="1"/>
  <c r="I8" i="4"/>
  <c r="I11" i="4" s="1"/>
  <c r="H8" i="4"/>
  <c r="H11" i="4" s="1"/>
  <c r="G8" i="4"/>
  <c r="G17" i="4" s="1"/>
  <c r="F8" i="4"/>
  <c r="F9" i="4" s="1"/>
  <c r="E8" i="4"/>
  <c r="E9" i="4" s="1"/>
  <c r="D8" i="4"/>
  <c r="D17" i="4" s="1"/>
  <c r="E5" i="4"/>
  <c r="D31" i="3"/>
  <c r="F14" i="7" s="1"/>
  <c r="D27" i="3"/>
  <c r="F7" i="7" s="1"/>
  <c r="B30" i="2"/>
  <c r="B29" i="2"/>
  <c r="B28" i="2"/>
  <c r="B27" i="2"/>
  <c r="B26" i="2"/>
  <c r="B25" i="2"/>
  <c r="C24" i="2"/>
  <c r="D24" i="2" s="1"/>
  <c r="B24" i="2"/>
  <c r="C23" i="2"/>
  <c r="D23" i="2" s="1"/>
  <c r="B23" i="2"/>
  <c r="B22" i="2"/>
  <c r="B21" i="2"/>
  <c r="G14" i="2"/>
  <c r="W13" i="2"/>
  <c r="U13" i="2"/>
  <c r="V13" i="2" s="1"/>
  <c r="W10" i="2"/>
  <c r="U10" i="2"/>
  <c r="G10" i="2"/>
  <c r="C10" i="2"/>
  <c r="W9" i="2"/>
  <c r="U9" i="2"/>
  <c r="V9" i="2" s="1"/>
  <c r="W8" i="2"/>
  <c r="U8" i="2"/>
  <c r="V8" i="2" s="1"/>
  <c r="W7" i="2"/>
  <c r="U7" i="2"/>
  <c r="V7" i="2" s="1"/>
  <c r="G7" i="2"/>
  <c r="C7" i="2"/>
  <c r="D12" i="1"/>
  <c r="C26" i="2" l="1"/>
  <c r="D26" i="2" s="1"/>
  <c r="H13" i="4"/>
  <c r="J9" i="4"/>
  <c r="I13" i="4"/>
  <c r="F16" i="4"/>
  <c r="G16" i="4"/>
  <c r="J16" i="4"/>
  <c r="I9" i="4"/>
  <c r="D26" i="3"/>
  <c r="D7" i="7" s="1"/>
  <c r="E7" i="8" s="1"/>
  <c r="F10" i="4"/>
  <c r="H14" i="4"/>
  <c r="G13" i="4"/>
  <c r="H17" i="4"/>
  <c r="I14" i="4"/>
  <c r="I16" i="4"/>
  <c r="J13" i="4"/>
  <c r="G10" i="4"/>
  <c r="D29" i="3"/>
  <c r="K9" i="7" s="1"/>
  <c r="H10" i="4"/>
  <c r="J14" i="4"/>
  <c r="G9" i="4"/>
  <c r="I10" i="4"/>
  <c r="D44" i="3"/>
  <c r="J11" i="4"/>
  <c r="F15" i="4"/>
  <c r="D12" i="4"/>
  <c r="I15" i="4"/>
  <c r="D40" i="3"/>
  <c r="C32" i="7" s="1"/>
  <c r="D18" i="9" s="1"/>
  <c r="J10" i="4"/>
  <c r="D42" i="3"/>
  <c r="C37" i="7" s="1"/>
  <c r="H15" i="4"/>
  <c r="F12" i="4"/>
  <c r="E17" i="9"/>
  <c r="V10" i="2"/>
  <c r="C30" i="2"/>
  <c r="D30" i="2" s="1"/>
  <c r="W11" i="2"/>
  <c r="C13" i="7"/>
  <c r="C23" i="7" s="1"/>
  <c r="C9" i="7"/>
  <c r="D15" i="8" s="1"/>
  <c r="C26" i="7"/>
  <c r="C27" i="7" s="1"/>
  <c r="D39" i="5"/>
  <c r="D8" i="9"/>
  <c r="F8" i="9" s="1"/>
  <c r="D8" i="7"/>
  <c r="N7" i="7"/>
  <c r="D17" i="9"/>
  <c r="C14" i="2"/>
  <c r="D14" i="7"/>
  <c r="L15" i="4"/>
  <c r="D7" i="8"/>
  <c r="F11" i="4"/>
  <c r="G7" i="7"/>
  <c r="D19" i="8"/>
  <c r="L12" i="4"/>
  <c r="D11" i="4"/>
  <c r="C11" i="8"/>
  <c r="G11" i="4"/>
  <c r="D14" i="4"/>
  <c r="H7" i="7"/>
  <c r="H14" i="7"/>
  <c r="E7" i="7"/>
  <c r="C21" i="2"/>
  <c r="D21" i="2" s="1"/>
  <c r="E14" i="4"/>
  <c r="L16" i="4"/>
  <c r="D9" i="9"/>
  <c r="F9" i="9" s="1"/>
  <c r="G14" i="4"/>
  <c r="L14" i="4"/>
  <c r="L9" i="4"/>
  <c r="E14" i="7"/>
  <c r="C30" i="7"/>
  <c r="G14" i="7"/>
  <c r="E17" i="4"/>
  <c r="U11" i="2"/>
  <c r="F17" i="4"/>
  <c r="V11" i="2" l="1"/>
  <c r="L9" i="7"/>
  <c r="J9" i="7"/>
  <c r="M9" i="7"/>
  <c r="I9" i="7"/>
  <c r="E9" i="7"/>
  <c r="H9" i="7"/>
  <c r="E15" i="8" s="1"/>
  <c r="G9" i="7"/>
  <c r="F9" i="7"/>
  <c r="N23" i="7"/>
  <c r="F19" i="8" s="1"/>
  <c r="F17" i="9"/>
  <c r="D10" i="7"/>
  <c r="D11" i="8"/>
  <c r="E8" i="7"/>
  <c r="M7" i="7"/>
  <c r="L7" i="7"/>
  <c r="K7" i="7"/>
  <c r="J7" i="7"/>
  <c r="I7" i="7"/>
  <c r="E10" i="7"/>
  <c r="E18" i="9"/>
  <c r="F18" i="9" s="1"/>
  <c r="N18" i="7"/>
  <c r="F23" i="8" s="1"/>
  <c r="H18" i="7"/>
  <c r="I18" i="7" s="1"/>
  <c r="J18" i="7" s="1"/>
  <c r="K18" i="7" s="1"/>
  <c r="L18" i="7" s="1"/>
  <c r="M18" i="7" s="1"/>
  <c r="G18" i="7"/>
  <c r="F18" i="7"/>
  <c r="E18" i="7"/>
  <c r="C13" i="2"/>
  <c r="D18" i="7"/>
  <c r="F15" i="8" l="1"/>
  <c r="N9" i="7"/>
  <c r="D23" i="8"/>
  <c r="D19" i="7"/>
  <c r="E19" i="7" s="1"/>
  <c r="F19" i="7" s="1"/>
  <c r="G19" i="7" s="1"/>
  <c r="H19" i="7" s="1"/>
  <c r="I19" i="7" s="1"/>
  <c r="J19" i="7" s="1"/>
  <c r="K19" i="7" s="1"/>
  <c r="L19" i="7" s="1"/>
  <c r="M19" i="7" s="1"/>
  <c r="E23" i="8" s="1"/>
  <c r="D15" i="7"/>
  <c r="D22" i="7" s="1"/>
  <c r="F8" i="7"/>
  <c r="D12" i="7"/>
  <c r="E12" i="7" s="1"/>
  <c r="D13" i="7"/>
  <c r="D23" i="7" l="1"/>
  <c r="D16" i="7"/>
  <c r="D20" i="7" s="1"/>
  <c r="G8" i="7"/>
  <c r="E15" i="7"/>
  <c r="E22" i="7" s="1"/>
  <c r="F10" i="7"/>
  <c r="E13" i="7"/>
  <c r="E16" i="7" l="1"/>
  <c r="E20" i="7" s="1"/>
  <c r="E23" i="7"/>
  <c r="F13" i="7"/>
  <c r="F12" i="7"/>
  <c r="F15" i="7"/>
  <c r="F22" i="7" s="1"/>
  <c r="H8" i="7"/>
  <c r="G10" i="7"/>
  <c r="G13" i="7" l="1"/>
  <c r="G12" i="7"/>
  <c r="G15" i="7"/>
  <c r="G22" i="7" s="1"/>
  <c r="E11" i="8"/>
  <c r="F7" i="8"/>
  <c r="I8" i="7"/>
  <c r="H10" i="7"/>
  <c r="F16" i="7"/>
  <c r="F20" i="7" s="1"/>
  <c r="F23" i="7"/>
  <c r="H15" i="7" l="1"/>
  <c r="H22" i="7" s="1"/>
  <c r="J8" i="7"/>
  <c r="I10" i="7"/>
  <c r="H13" i="7"/>
  <c r="H12" i="7"/>
  <c r="G16" i="7"/>
  <c r="G20" i="7" s="1"/>
  <c r="G23" i="7"/>
  <c r="H16" i="7" l="1"/>
  <c r="H20" i="7" s="1"/>
  <c r="H23" i="7"/>
  <c r="I13" i="7"/>
  <c r="I12" i="7"/>
  <c r="I15" i="7"/>
  <c r="I22" i="7" s="1"/>
  <c r="K8" i="7"/>
  <c r="J10" i="7"/>
  <c r="L8" i="7" l="1"/>
  <c r="J15" i="7"/>
  <c r="J22" i="7" s="1"/>
  <c r="K10" i="7"/>
  <c r="I23" i="7"/>
  <c r="I16" i="7"/>
  <c r="I20" i="7" s="1"/>
  <c r="J13" i="7"/>
  <c r="J12" i="7"/>
  <c r="J23" i="7" l="1"/>
  <c r="J16" i="7"/>
  <c r="J20" i="7" s="1"/>
  <c r="K13" i="7"/>
  <c r="K12" i="7"/>
  <c r="M8" i="7"/>
  <c r="K15" i="7"/>
  <c r="K22" i="7" s="1"/>
  <c r="L10" i="7"/>
  <c r="L12" i="7" l="1"/>
  <c r="L13" i="7"/>
  <c r="L15" i="7"/>
  <c r="L22" i="7" s="1"/>
  <c r="F11" i="8"/>
  <c r="C15" i="2"/>
  <c r="N8" i="7"/>
  <c r="M10" i="7"/>
  <c r="K23" i="7"/>
  <c r="K16" i="7"/>
  <c r="K20" i="7" s="1"/>
  <c r="M13" i="7" l="1"/>
  <c r="M12" i="7"/>
  <c r="M15" i="7"/>
  <c r="M22" i="7" s="1"/>
  <c r="N10" i="7"/>
  <c r="N13" i="7" s="1"/>
  <c r="L23" i="7"/>
  <c r="L16" i="7"/>
  <c r="L20" i="7" s="1"/>
  <c r="N15" i="7" l="1"/>
  <c r="N16" i="7" s="1"/>
  <c r="C33" i="7" s="1"/>
  <c r="C34" i="7" s="1"/>
  <c r="M16" i="7"/>
  <c r="M20" i="7" s="1"/>
  <c r="C35" i="7" s="1"/>
  <c r="M23" i="7"/>
  <c r="E19" i="8" s="1"/>
  <c r="C36" i="7" l="1"/>
  <c r="C38" i="7"/>
  <c r="C39" i="7" s="1"/>
  <c r="G6" i="2" l="1"/>
  <c r="C11" i="2"/>
  <c r="E12" i="9"/>
  <c r="C46" i="7"/>
  <c r="C49" i="7" l="1"/>
  <c r="C12" i="2"/>
  <c r="G13" i="2"/>
  <c r="D12" i="9"/>
  <c r="F12" i="9" s="1"/>
  <c r="E11" i="9" l="1"/>
  <c r="F11" i="9" s="1"/>
  <c r="E10" i="9"/>
  <c r="F10" i="9" s="1"/>
  <c r="D11" i="1"/>
  <c r="D7" i="9"/>
  <c r="F7" i="9" s="1"/>
  <c r="O7" i="4"/>
  <c r="C52" i="7"/>
  <c r="C8" i="2" s="1"/>
  <c r="U12" i="2"/>
  <c r="C6" i="2"/>
  <c r="D19" i="9"/>
  <c r="F19" i="9" s="1"/>
  <c r="D27" i="8"/>
  <c r="C39" i="5"/>
  <c r="B27" i="5"/>
  <c r="W12" i="2"/>
  <c r="V12" i="2" s="1"/>
  <c r="C27" i="8"/>
  <c r="G16" i="2"/>
  <c r="B13" i="5"/>
  <c r="C51" i="7"/>
  <c r="C9" i="2" l="1"/>
  <c r="D13" i="1"/>
  <c r="F14" i="9"/>
  <c r="D14" i="1" s="1"/>
</calcChain>
</file>

<file path=xl/sharedStrings.xml><?xml version="1.0" encoding="utf-8"?>
<sst xmlns="http://schemas.openxmlformats.org/spreadsheetml/2006/main" count="406" uniqueCount="335">
  <si>
    <t>Meta Platforms, Inc. (NASDAQ: META)</t>
  </si>
  <si>
    <t>Intrinsic Valuation: Damodaran FCFF (Ginzu) Framework</t>
  </si>
  <si>
    <t>Valuation date: 2 October 2026 | $ in millions except per share | For internal discussion</t>
  </si>
  <si>
    <t>Headline</t>
  </si>
  <si>
    <t>Intrinsic value per share</t>
  </si>
  <si>
    <t>Share price</t>
  </si>
  <si>
    <t>Price as % of value</t>
  </si>
  <si>
    <t>Model checks</t>
  </si>
  <si>
    <t>Contents</t>
  </si>
  <si>
    <t>Summary</t>
  </si>
  <si>
    <t>Key outputs, EV-to-equity bridge, scenarios, football field</t>
  </si>
  <si>
    <t>Inputs</t>
  </si>
  <si>
    <t>Every hard-coded input with its source (blue)</t>
  </si>
  <si>
    <t>Scenarios</t>
  </si>
  <si>
    <t>Scenario selector: the whole model runs on the active scenario</t>
  </si>
  <si>
    <t>Sensitivity</t>
  </si>
  <si>
    <t>Live data tables</t>
  </si>
  <si>
    <t>WACC</t>
  </si>
  <si>
    <t>Cost of capital (Damodaran's worksheet)</t>
  </si>
  <si>
    <t>DCF</t>
  </si>
  <si>
    <t>FCFF projection, terminal value, equity bridge</t>
  </si>
  <si>
    <t>Diagnostics</t>
  </si>
  <si>
    <t>Ginzu diagnostic questions vs industry</t>
  </si>
  <si>
    <t>Checks</t>
  </si>
  <si>
    <t>Tie-out to the engine and the Ginzu rules</t>
  </si>
  <si>
    <t>Sources</t>
  </si>
  <si>
    <t>Sources, methodology, disclaimer</t>
  </si>
  <si>
    <t>Colour convention</t>
  </si>
  <si>
    <t>Blue: hard-coded input</t>
  </si>
  <si>
    <t>Black: formula</t>
  </si>
  <si>
    <t>Green: link to another sheet</t>
  </si>
  <si>
    <t>Yellow fill: flex / selector cell (keep at base)</t>
  </si>
  <si>
    <t>Educational application of Damodaran's public framework and data; not investment advice.</t>
  </si>
  <si>
    <t>Valuation Summary: Meta Platforms, Inc. (NASDAQ: META)</t>
  </si>
  <si>
    <t>Intrinsic value, Damodaran FCFF (Ginzu) framework | Valuation date 2 October 2026 | $ in millions except per share</t>
  </si>
  <si>
    <t>Key outputs</t>
  </si>
  <si>
    <t>Enterprise value to equity bridge</t>
  </si>
  <si>
    <t>Chart data: football field</t>
  </si>
  <si>
    <t>Value of operating assets</t>
  </si>
  <si>
    <t>Reference</t>
  </si>
  <si>
    <t>Low</t>
  </si>
  <si>
    <t>High - low</t>
  </si>
  <si>
    <t>High</t>
  </si>
  <si>
    <t>Current share price</t>
  </si>
  <si>
    <t>Less: debt</t>
  </si>
  <si>
    <t>52-week trading range</t>
  </si>
  <si>
    <t>Upside / (downside) to value</t>
  </si>
  <si>
    <t>Less: minority interests</t>
  </si>
  <si>
    <t>Analyst average target (third party)</t>
  </si>
  <si>
    <t>Plus: cash</t>
  </si>
  <si>
    <t>DCF: cost of capital sensitivity</t>
  </si>
  <si>
    <t>Market capitalization</t>
  </si>
  <si>
    <t>Less: tax on trapped cash</t>
  </si>
  <si>
    <t>DCF: growth x margin sensitivity</t>
  </si>
  <si>
    <t>Intrinsic value of operating assets</t>
  </si>
  <si>
    <t>Plus: non-operating assets</t>
  </si>
  <si>
    <t>DCF: scenario range</t>
  </si>
  <si>
    <t>Intrinsic value of equity</t>
  </si>
  <si>
    <t>Plus: IPO proceeds retained</t>
  </si>
  <si>
    <t>DCF base case</t>
  </si>
  <si>
    <t>Initial / terminal cost of capital</t>
  </si>
  <si>
    <t>Value of equity</t>
  </si>
  <si>
    <t>Terminal growth</t>
  </si>
  <si>
    <t>Less: employee options</t>
  </si>
  <si>
    <t>Year-10 revenue</t>
  </si>
  <si>
    <t>Shares outstanding</t>
  </si>
  <si>
    <t>Breakeven target margin for value = price (engine)</t>
  </si>
  <si>
    <t>Value per share</t>
  </si>
  <si>
    <t>Scenario analysis (live; set the active scenario on the Scenarios tab)</t>
  </si>
  <si>
    <t>Scenario</t>
  </si>
  <si>
    <t>Value / share</t>
  </si>
  <si>
    <t>vs price</t>
  </si>
  <si>
    <t>Inputs &amp; Assumptions</t>
  </si>
  <si>
    <t>$ in millions except per share | Blue = hard-coded input (source in column N) | Column D = live value of the active scenario</t>
  </si>
  <si>
    <t>Base</t>
  </si>
  <si>
    <t>Live</t>
  </si>
  <si>
    <t>Market data</t>
  </si>
  <si>
    <t>MARKET: META close 2026-10-02, $728.08 (https://stockanalysis.com/stocks/meta/)</t>
  </si>
  <si>
    <t>FILING: 10-Q cover, 2026-07-24: Class A 2,205,128,509 + Class B 342,377,716 = 2,547.5 million</t>
  </si>
  <si>
    <t>52-week low</t>
  </si>
  <si>
    <t>Market data (third party)</t>
  </si>
  <si>
    <t>52-week high</t>
  </si>
  <si>
    <t>Analyst average price target (third party)</t>
  </si>
  <si>
    <t>Base year (trailing twelve months)</t>
  </si>
  <si>
    <t>Revenues (base year)</t>
  </si>
  <si>
    <t>FILING: TTM to 2026-06-30 = FY2025 200,966 + H1 2026 117,111 - H1 2025 89,830 (10-K 2025; 10-Q 2026-06-30), https://www.sec.gov/Archives/edgar/data/1326801/000162828026050705/meta-20260630.htm</t>
  </si>
  <si>
    <t>Operating income (EBIT, base year)</t>
  </si>
  <si>
    <t>FILING: TTM income from operations = 83,276 + 41,647 - 37,997 (includes $2.4bn of Q2-2026 legal charges)</t>
  </si>
  <si>
    <t>Book value of equity</t>
  </si>
  <si>
    <t>FILING: total stockholders' equity 261,221 at 2026-06-30</t>
  </si>
  <si>
    <t>Book value of debt (incl. leases)</t>
  </si>
  <si>
    <t>FILING: long-term debt 83,664 + operating lease liabilities 2,425 + 26,229 = 112,318 at 2026-06-30 (finance lease liabilities sit in other liabilities and are not added)</t>
  </si>
  <si>
    <t>Cash &amp; marketable securities</t>
  </si>
  <si>
    <t>FILING: cash and cash equivalents 15,462 + marketable securities 74,798 at 2026-06-30 (restricted cash excluded)</t>
  </si>
  <si>
    <t>Non-operating assets (cross holdings)</t>
  </si>
  <si>
    <t>FILING: non-marketable equity investments 30,157 at 2026-06-30 (cross holdings)</t>
  </si>
  <si>
    <t>Minority interests</t>
  </si>
  <si>
    <t>FILING: none</t>
  </si>
  <si>
    <t>Revenues, prior year</t>
  </si>
  <si>
    <t>FILING: TTM to 2025-06-30 = 164,501 + 89,830 - 75,527</t>
  </si>
  <si>
    <t>Net operating loss carried forward</t>
  </si>
  <si>
    <t>Ginzu default (none)</t>
  </si>
  <si>
    <t>IPO proceeds retained by the firm</t>
  </si>
  <si>
    <t>None</t>
  </si>
  <si>
    <t>New IPO shares issued at estimated value (1 = yes)</t>
  </si>
  <si>
    <t>No</t>
  </si>
  <si>
    <t>Value drivers (the story)</t>
  </si>
  <si>
    <t>Revenue growth, next year</t>
  </si>
  <si>
    <t>JUDGMENT anchored on consensus: next-12-month revenue ~$281bn = consensus 2026 $254.2bn less actual H1 $117.1bn, plus ~47% of consensus 2027 $306.4bn (S&amp;P Global via StockAnalysis, 2026-10-02); company guides Q3-2026 revenue to $61-64bn (8-K 2026-07-29)</t>
  </si>
  <si>
    <t>Revenue growth, years 2-5 (CAGR)</t>
  </si>
  <si>
    <t>DAMODARAN Feb-2024 Meta story: 12% a year (Seven Samurai post). Breakeven vs price: 10.9%</t>
  </si>
  <si>
    <t>Operating margin, next year</t>
  </si>
  <si>
    <t>JUDGMENT: 2026 expense guidance ($165-169bn) against ~$254bn of revenue is a ~34% GAAP margin; capitalizing R&amp;D adds ~12 points (current R&amp;D-adjusted margin 49.1%)</t>
  </si>
  <si>
    <t>Target pre-tax operating margin</t>
  </si>
  <si>
    <t>DAMODARAN Feb-2024 Meta story: 40% target operating margin by year 5</t>
  </si>
  <si>
    <t>Year of margin convergence</t>
  </si>
  <si>
    <t>DAMODARAN Meta2024 input (year 5)</t>
  </si>
  <si>
    <t>Sales to capital, years 1-5</t>
  </si>
  <si>
    <t>JUDGMENT anchored on filings: TTM reinvestment ~$94.8bn (capex 89,325 + finance-lease principal 3,104 - depreciation 22,729 + net R&amp;D capitalization 25,058) bought $49.4bn of extra revenue = 0.52; current revenue / invested capital 0.56; 2026 capex guided to $130-145bn. Damodaran's Feb-2024 input was 1.5</t>
  </si>
  <si>
    <t>Sales to capital, years 6-10</t>
  </si>
  <si>
    <t>DAMODARAN Meta2024 input (1.5): efficiency returns once the AI build-out matures</t>
  </si>
  <si>
    <t>Rates, terminal value and default-assumption overrides</t>
  </si>
  <si>
    <t>Effective tax rate</t>
  </si>
  <si>
    <t>FILING/GUIDANCE: 16%, the midpoint of the company's 15-17% outlook for the rest of 2026 (Q2-2026 rate 15.5%); the TTM rate is distorted by a $15.93bn Q3-2025 charge and an $8.03bn Q1-2026 benefit</t>
  </si>
  <si>
    <t>Marginal tax rate</t>
  </si>
  <si>
    <t>DAMODARAN Meta2024 input (25%)</t>
  </si>
  <si>
    <t>Keep effective tax rate forever (1 = yes)</t>
  </si>
  <si>
    <t>Ginzu default (tax drifts to marginal)</t>
  </si>
  <si>
    <t>Riskfree rate</t>
  </si>
  <si>
    <t>MARKET: US 10-year Treasury par yield 5.28% on 2026-10-02 (home.treasury.gov daily yield curve)</t>
  </si>
  <si>
    <t>Mature market equity risk premium</t>
  </si>
  <si>
    <t>DAMODARAN July 2026 country-risk update: mature market ERP 4.20% (country_risk.py, ctrypremJuly26.xlsx)</t>
  </si>
  <si>
    <t>Terminal return on capital (override)</t>
  </si>
  <si>
    <t>DAMODARAN Meta2024 override (15%: lasting advantages of the ad platforms)</t>
  </si>
  <si>
    <t>Reinvestment lag (years, 0-3)</t>
  </si>
  <si>
    <t>Ginzu default (1 year)</t>
  </si>
  <si>
    <t>Probability of failure</t>
  </si>
  <si>
    <t>Ginzu default (no failure)</t>
  </si>
  <si>
    <t>Failure proceeds tied to ("B" book / "V" fair value)</t>
  </si>
  <si>
    <t>V</t>
  </si>
  <si>
    <t>Ginzu default</t>
  </si>
  <si>
    <t>Failure proceeds, % of that basis</t>
  </si>
  <si>
    <t>R&amp;D capitalization (Ginzu R&amp;D converter)</t>
  </si>
  <si>
    <t>R&amp;D expense, current year</t>
  </si>
  <si>
    <t>FILING: R&amp;D TTM 57,372 + 39,354 - 25,092 = 71,634; FY2025 57,372, FY2024 43,873, FY2023 38,483 (10-K); 3-year life = DAMODARAN Meta2024 input</t>
  </si>
  <si>
    <t>Amortizable life (years)</t>
  </si>
  <si>
    <t>R&amp;D expense, year -1</t>
  </si>
  <si>
    <t>R&amp;D expense, year -2</t>
  </si>
  <si>
    <t>R&amp;D expense, year -3</t>
  </si>
  <si>
    <t>Industry benchmarks for Diagnostics: US Advertising</t>
  </si>
  <si>
    <t>Revenue growth (5-year average)</t>
  </si>
  <si>
    <t>Damodaran industry averages, US Advertising (Updated January 1, 2026)</t>
  </si>
  <si>
    <t>Pre-tax operating margin (lease &amp; R&amp;D adjusted)</t>
  </si>
  <si>
    <t>Sales / capital</t>
  </si>
  <si>
    <t>Cost of capital</t>
  </si>
  <si>
    <t>Scenario Analysis</t>
  </si>
  <si>
    <t>Set the active scenario in D5: the whole model runs on it (Inputs column D). The value column is a live data table over all scenarios.</t>
  </si>
  <si>
    <t>Active scenario (1-10)</t>
  </si>
  <si>
    <t>Data table (What-If; do not edit)</t>
  </si>
  <si>
    <t>#</t>
  </si>
  <si>
    <t>Base case</t>
  </si>
  <si>
    <t>Sales-to-capital 1.5 in yrs 1-5 (Damodaran Feb-2024)</t>
  </si>
  <si>
    <t>Sales-to-capital 0.3 in yrs 1-5 (2026 capex pace)</t>
  </si>
  <si>
    <t>Growth yrs 2-5 at 8% (ad market slows)</t>
  </si>
  <si>
    <t>Growth yrs 2-5 at 15% (AI lifts ad pricing)</t>
  </si>
  <si>
    <t>Target margin 35% (AI depreciation and legal costs)</t>
  </si>
  <si>
    <t>Target margin 45% (AI pays off in efficiency)</t>
  </si>
  <si>
    <t>Terminal ROIC = cost of capital (Ginzu default)</t>
  </si>
  <si>
    <t>Next-year revenue = 4 x Q3 guidance midpoint ($250bn)</t>
  </si>
  <si>
    <t>10% chance of failure (youth-harm litigation)</t>
  </si>
  <si>
    <t>Sensitivity Analysis</t>
  </si>
  <si>
    <t>Live Excel data tables on value per share. Flex cells (yellow) must stay neutral for the base case; the data tables vary them.</t>
  </si>
  <si>
    <t>Flex cells (neutral values = base case)</t>
  </si>
  <si>
    <t>Change in initial cost of capital</t>
  </si>
  <si>
    <t>Change in terminal cost of capital</t>
  </si>
  <si>
    <t>Change in revenue growth, years 1-5</t>
  </si>
  <si>
    <t>Change in target operating margin</t>
  </si>
  <si>
    <t>Change in riskfree rate</t>
  </si>
  <si>
    <t>Value per share: initial vs terminal cost of capital (change from base)</t>
  </si>
  <si>
    <t>Rows: change in initial cost of capital | Columns: change in terminal cost of capital</t>
  </si>
  <si>
    <t>Shaded green: value at or above the current share price</t>
  </si>
  <si>
    <t>Value per share: revenue growth vs operating margin (change from base)</t>
  </si>
  <si>
    <t>Rows: change in revenue growth, years 1-5 | Columns: change in target operating margin</t>
  </si>
  <si>
    <t>Riskfree rate: value per share and cost of capital</t>
  </si>
  <si>
    <t>Initial WACC</t>
  </si>
  <si>
    <t>Cost of Capital</t>
  </si>
  <si>
    <t>Damodaran's cost-of-capital worksheet, approach: industry_average. Data: Damodaran (Updated January 1, 2026).</t>
  </si>
  <si>
    <t>Riskfree rate (live, incl. flex)</t>
  </si>
  <si>
    <t>Industry-average cost of capital (US)</t>
  </si>
  <si>
    <t>Industry cost of capital: Advertising (US)</t>
  </si>
  <si>
    <t>Damodaran US industry averages (Updated January 1, 2026)</t>
  </si>
  <si>
    <t>Riskfree rate in the industry data</t>
  </si>
  <si>
    <t>Damodaran data</t>
  </si>
  <si>
    <t>Riskfree adjustment (live riskfree - data riskfree)</t>
  </si>
  <si>
    <t>Cost of capital (initial)</t>
  </si>
  <si>
    <t>Discounted Cash Flow (FCFF)</t>
  </si>
  <si>
    <t>Damodaran fcffsimpleginzu mechanics: tax drifts to marginal in years 6-10, NOL shield, cost of capital drifts to terminal, terminal reinvestment = g / ROIC. $ in millions except per share.</t>
  </si>
  <si>
    <t>Base year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</si>
  <si>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</si>
  <si>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</si>
  <si>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</si>
  <si>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</si>
  <si>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</si>
  <si>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</si>
  <si>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</si>
  <si>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</si>
  <si>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</si>
  <si>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</si>
  <si>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Terminal</t>
  </si>
  <si>
    <t>Year (t)</t>
  </si>
  <si>
    <t>Revenue growth</t>
  </si>
  <si>
    <t>Revenue</t>
  </si>
  <si>
    <t>Operating margin</t>
  </si>
  <si>
    <t>Operating income (EBIT)</t>
  </si>
  <si>
    <t>Tax rate</t>
  </si>
  <si>
    <t>After-tax operating income</t>
  </si>
  <si>
    <t>Sales to capital</t>
  </si>
  <si>
    <t>Less: reinvestment</t>
  </si>
  <si>
    <t>Free cash flow to firm (FCFF)</t>
  </si>
  <si>
    <t>Cumulative discount factor</t>
  </si>
  <si>
    <t>Present value of FCFF</t>
  </si>
  <si>
    <t>Invested capital</t>
  </si>
  <si>
    <t>Return on invested capital</t>
  </si>
  <si>
    <t>Valuation</t>
  </si>
  <si>
    <t>Initial cost of capital (WACC tab)</t>
  </si>
  <si>
    <t>Initial cost of capital (incl. flex)</t>
  </si>
  <si>
    <t>Riskfree rate after year 10</t>
  </si>
  <si>
    <t>Mature market ERP</t>
  </si>
  <si>
    <t>Terminal cost of capital</t>
  </si>
  <si>
    <t>Terminal growth rate</t>
  </si>
  <si>
    <t>Terminal return on capital</t>
  </si>
  <si>
    <t>Terminal value  = FCFF(t+1) / (r - g)</t>
  </si>
  <si>
    <t>PV of terminal value</t>
  </si>
  <si>
    <t>PV of FCFF, years 1-10</t>
  </si>
  <si>
    <t>Sum of present values</t>
  </si>
  <si>
    <t>Proceeds if the firm fails</t>
  </si>
  <si>
    <t>Less: tax on repatriating trapped cash</t>
  </si>
  <si>
    <t>Less: value of employee options</t>
  </si>
  <si>
    <t>Shares outstanding (incl. IPO shares at value)</t>
  </si>
  <si>
    <t>Estimated value per share</t>
  </si>
  <si>
    <t>Value of research asset</t>
  </si>
  <si>
    <t>Amortization of research asset (this year)</t>
  </si>
  <si>
    <t>Adjustment to operating income (R&amp;D - amortization)</t>
  </si>
  <si>
    <t>The Ginzu 'Diagnostics' sheet: the forecast next to industry averages, with the questions Damodaran suggests asking</t>
  </si>
  <si>
    <t>1. Revenue growth</t>
  </si>
  <si>
    <t>Industry (5-yr avg)</t>
  </si>
  <si>
    <t>Last year</t>
  </si>
  <si>
    <t>Next year</t>
  </si>
  <si>
    <t>CAGR yrs 2-5</t>
  </si>
  <si>
    <t>Growth above industry: is the company small? Very different from last year's growth: why?</t>
  </si>
  <si>
    <t>2. Dollar revenues</t>
  </si>
  <si>
    <t>Now</t>
  </si>
  <si>
    <t>How big is the total market, what do its biggest firms earn, what share does year 10 imply?</t>
  </si>
  <si>
    <t>3. Operating margin</t>
  </si>
  <si>
    <t>Industry</t>
  </si>
  <si>
    <t>Industry margins? Unit economics (the cost of the extra unit)? What does competition look like?</t>
  </si>
  <si>
    <t>4. Reinvestment &amp; ROIC</t>
  </si>
  <si>
    <t>Industry sales/capital</t>
  </si>
  <si>
    <t>Sales/capital now</t>
  </si>
  <si>
    <t>ROIC year 10</t>
  </si>
  <si>
    <t>Stable ROIC</t>
  </si>
  <si>
    <t>Bounce-back or new growth? Excess capacity? Does efficiency change with scale? Comfortable with year-10 ROIC?</t>
  </si>
  <si>
    <t>5. Cost of capital</t>
  </si>
  <si>
    <t>Years 1-5</t>
  </si>
  <si>
    <t>Compounded</t>
  </si>
  <si>
    <t>Stable</t>
  </si>
  <si>
    <t>How does it compare with the industry? Why does it change over time? Is the failure rate consistent with the company?</t>
  </si>
  <si>
    <t>6. Value vs price</t>
  </si>
  <si>
    <t>Value / price</t>
  </si>
  <si>
    <t>Flag</t>
  </si>
  <si>
    <t>Ginzu flags: value below 50% or above 200% of price -&gt; revisit growth, target margin, sales/capital and terminal ROIC.</t>
  </si>
  <si>
    <t>Model Checks</t>
  </si>
  <si>
    <t>Ties the workbook to the aswath-finance engine (ginzu.py, calibrated to Damodaran's spreadsheets). Engine values are hard-coded at export; they are only comparable in the base state.</t>
  </si>
  <si>
    <t>Check</t>
  </si>
  <si>
    <t>Workbook</t>
  </si>
  <si>
    <t>Engine / rule</t>
  </si>
  <si>
    <t>Result</t>
  </si>
  <si>
    <t>Note</t>
  </si>
  <si>
    <t>Model in base state (flex cells neutral, scenario 1)</t>
  </si>
  <si>
    <t>Engine tie-outs apply in the base state only</t>
  </si>
  <si>
    <t>Value per share ties to engine</t>
  </si>
  <si>
    <t>ginzu.py value_per_share</t>
  </si>
  <si>
    <t>Initial cost of capital ties to engine</t>
  </si>
  <si>
    <t>cost_of_capital.py / input</t>
  </si>
  <si>
    <t>Scenario values tie to engine (max abs difference)</t>
  </si>
  <si>
    <t>ginzu.py on each scenario's inputs</t>
  </si>
  <si>
    <t>Sensitivity table 1 centre = base value</t>
  </si>
  <si>
    <t>Excel data table (recalculates on open)</t>
  </si>
  <si>
    <t>Sensitivity table 2 centre = base value</t>
  </si>
  <si>
    <t>Equity bridge adds up</t>
  </si>
  <si>
    <t>ALL CHECKS PASS</t>
  </si>
  <si>
    <t>Ginzu rules (warnings, not errors: Damodaran states them outright)</t>
  </si>
  <si>
    <t>Terminal growth &lt;= riskfree rate after year 10</t>
  </si>
  <si>
    <t>Terminal ROIC &gt;= terminal cost of capital (else growth destroys value)</t>
  </si>
  <si>
    <t>Value / price within the Ginzu 0.5x-2x Diagnostics flag</t>
  </si>
  <si>
    <t>0.5x-2x</t>
  </si>
  <si>
    <t>Sources, Methodology &amp; Notes</t>
  </si>
  <si>
    <t>Every input traces to a filing, market data, or Damodaran's own model/data</t>
  </si>
  <si>
    <t>Sources and notes</t>
  </si>
  <si>
    <t>revenues</t>
  </si>
  <si>
    <t>ebit</t>
  </si>
  <si>
    <t>rd</t>
  </si>
  <si>
    <t>book_equity</t>
  </si>
  <si>
    <t>book_debt</t>
  </si>
  <si>
    <t>cash</t>
  </si>
  <si>
    <t>non_operating_assets</t>
  </si>
  <si>
    <t>minority_interests</t>
  </si>
  <si>
    <t>shares_outstanding</t>
  </si>
  <si>
    <t>price</t>
  </si>
  <si>
    <t>effective_tax_rate</t>
  </si>
  <si>
    <t>marginal_tax_rate</t>
  </si>
  <si>
    <t>growth_next_year</t>
  </si>
  <si>
    <t>margin_next_year</t>
  </si>
  <si>
    <t>growth_years_2_5</t>
  </si>
  <si>
    <t>target_margin</t>
  </si>
  <si>
    <t>margin_convergence_year</t>
  </si>
  <si>
    <t>sales_to_capital_1_5</t>
  </si>
  <si>
    <t>sales_to_capital_6_10</t>
  </si>
  <si>
    <t>riskfree_rate</t>
  </si>
  <si>
    <t>mature_erp</t>
  </si>
  <si>
    <t>cost_of_capital</t>
  </si>
  <si>
    <t>DAMODARAN METHOD and choice (Meta2024 sheet: industry-average approach, single business US Advertising): industry cost of capital 7.81% (Damodaran data, Jan 2026) + (riskfree 5.28% - 4.58% in the data) = 8.51%</t>
  </si>
  <si>
    <t>terminal_roic</t>
  </si>
  <si>
    <t>industry_us</t>
  </si>
  <si>
    <t>DAMODARAN industry classification (Advertising)</t>
  </si>
  <si>
    <t>revenues_last_year</t>
  </si>
  <si>
    <t>Notes</t>
  </si>
  <si>
    <t>Story: Damodaran's Feb-2024 Meta story (12% revenue growth, 40% target margin, 15% terminal ROIC, industry-average cost of capital) is kept; the base year and the reinvestment efficiency are updated because AI capital spending ($130-145bn guided for 2026) has cut sales-to-capital to about 0.5.</t>
  </si>
  <si>
    <t>Damodaran's May-2026 post flags Meta's AI spending as the key test of Zuckerberg's big bets, with shareholders reduced to bystanders by the dual-class structure.</t>
  </si>
  <si>
    <t>Analyst consensus figures (revenue, price target) are third-party data from S&amp;P Global via StockAnalysis, shown for reference.</t>
  </si>
  <si>
    <t>Methodology</t>
  </si>
  <si>
    <t>FCFF DCF transcribed from Damodaran's fcffsimpleginzu spreadsheet (ginzu.py, which reproduces 31 published Damodaran valuations); cost of capital from Damodaran's worksheet (cost_of_capital.py).</t>
  </si>
  <si>
    <t>Data: Damodaran fcffsimpleginzu.xlsx (pages.stern.nyu.edu/~adamodar), Updated January 1, 2026.</t>
  </si>
  <si>
    <t>Disclaimer</t>
  </si>
  <si>
    <t>Educational application of Damodaran's public framework and data. Not investment advice, not a recommendation, and not affiliated with or endorsed by Damodaran or any bank.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</si>
</sst>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;\-&quot;$&quot;#,##0.00"/>
    <numFmt numFmtId="164" formatCode="#,##0_);\(#,##0\);&quot;–&quot;_)"/>
    <numFmt numFmtId="165" formatCode="0.0%_);\(0.0%\);&quot;–&quot;_)"/>
    <numFmt numFmtId="166" formatCode="0.00_);\(0.00\)"/>
    <numFmt numFmtId="167" formatCode="0.00%_);\(0.00%\);&quot;–&quot;_)"/>
    <numFmt numFmtId="168" formatCode="0.0000"/>
  </numFmts>
  <fonts count="15" x14ac:knownFonts="1">
    <font>
      <sz val="11"/>
      <color theme="1"/>
      <name val="Calibri"/>
      <family val="2"/>
      <scheme val="minor"/>
    </font>
    <font>
      <b/>
      <sz val="16"/>
      <color rgb="FF0B2545"/>
      <name val="Arial"/>
    </font>
    <font>
      <i/>
      <sz val="10"/>
      <color rgb="FF595959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i/>
      <sz val="8"/>
      <color rgb="FF595959"/>
      <name val="Arial"/>
    </font>
    <font>
      <sz val="10"/>
      <color rgb="FF008000"/>
      <name val="Arial"/>
    </font>
    <font>
      <b/>
      <sz val="10"/>
      <color rgb="FF008000"/>
      <name val="Arial"/>
    </font>
    <font>
      <u/>
      <sz val="10"/>
      <color rgb="FF1F4E79"/>
      <name val="Arial"/>
    </font>
    <font>
      <b/>
      <sz val="20"/>
      <color rgb="FFFFFFFF"/>
      <name val="Arial"/>
    </font>
    <font>
      <sz val="13"/>
      <color rgb="FFFFFFFF"/>
      <name val="Arial"/>
    </font>
    <font>
      <i/>
      <sz val="10"/>
      <color rgb="FFDCE6F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0B2545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4" fillId="0" borderId="0" xfId="0" applyFont="1"/>
    <xf numFmtId="0" fontId="14" fillId="3" borderId="0" xfId="0" applyFont="1" applyFill="1"/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3" fillId="0" borderId="0" xfId="0" applyFont="1"/>
    <xf numFmtId="0" fontId="5" fillId="0" borderId="0" xfId="0" applyFont="1"/>
    <xf numFmtId="7" fontId="3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0" fillId="0" borderId="0" xfId="0" applyFont="1"/>
    <xf numFmtId="0" fontId="6" fillId="0" borderId="0" xfId="0" applyFont="1"/>
    <xf numFmtId="0" fontId="8" fillId="0" borderId="0" xfId="0" applyFont="1"/>
    <xf numFmtId="0" fontId="5" fillId="4" borderId="0" xfId="0" applyFont="1" applyFill="1"/>
    <xf numFmtId="0" fontId="7" fillId="0" borderId="0" xfId="0" applyFont="1"/>
    <xf numFmtId="0" fontId="1" fillId="0" borderId="0" xfId="0" applyFont="1"/>
    <xf numFmtId="0" fontId="2" fillId="0" borderId="0" xfId="0" applyFont="1"/>
    <xf numFmtId="0" fontId="4" fillId="3" borderId="0" xfId="0" applyFont="1" applyFill="1"/>
    <xf numFmtId="7" fontId="3" fillId="2" borderId="1" xfId="0" applyNumberFormat="1" applyFont="1" applyFill="1" applyBorder="1"/>
    <xf numFmtId="164" fontId="8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7" fontId="5" fillId="0" borderId="0" xfId="0" applyNumberFormat="1" applyFont="1"/>
    <xf numFmtId="164" fontId="5" fillId="0" borderId="0" xfId="0" applyNumberFormat="1" applyFont="1"/>
    <xf numFmtId="7" fontId="8" fillId="0" borderId="0" xfId="0" applyNumberFormat="1" applyFont="1"/>
    <xf numFmtId="165" fontId="8" fillId="0" borderId="0" xfId="0" applyNumberFormat="1" applyFont="1"/>
    <xf numFmtId="0" fontId="5" fillId="0" borderId="0" xfId="0" applyFont="1" applyAlignment="1">
      <alignment horizontal="right"/>
    </xf>
    <xf numFmtId="164" fontId="9" fillId="0" borderId="2" xfId="0" applyNumberFormat="1" applyFont="1" applyBorder="1"/>
    <xf numFmtId="167" fontId="8" fillId="0" borderId="0" xfId="0" applyNumberFormat="1" applyFont="1"/>
    <xf numFmtId="165" fontId="6" fillId="0" borderId="0" xfId="0" applyNumberFormat="1" applyFont="1"/>
    <xf numFmtId="7" fontId="9" fillId="0" borderId="0" xfId="0" applyNumberFormat="1" applyFont="1"/>
    <xf numFmtId="165" fontId="5" fillId="0" borderId="0" xfId="0" applyNumberFormat="1" applyFont="1"/>
    <xf numFmtId="7" fontId="6" fillId="0" borderId="0" xfId="0" applyNumberFormat="1" applyFont="1"/>
    <xf numFmtId="0" fontId="7" fillId="0" borderId="0" xfId="0" applyFont="1" applyAlignment="1">
      <alignment vertical="top" wrapText="1"/>
    </xf>
    <xf numFmtId="164" fontId="6" fillId="0" borderId="0" xfId="0" applyNumberFormat="1" applyFont="1"/>
    <xf numFmtId="1" fontId="6" fillId="0" borderId="0" xfId="0" applyNumberFormat="1" applyFont="1"/>
    <xf numFmtId="166" fontId="6" fillId="0" borderId="0" xfId="0" applyNumberFormat="1" applyFont="1"/>
    <xf numFmtId="166" fontId="5" fillId="0" borderId="0" xfId="0" applyNumberFormat="1" applyFont="1"/>
    <xf numFmtId="167" fontId="6" fillId="0" borderId="0" xfId="0" applyNumberFormat="1" applyFont="1"/>
    <xf numFmtId="1" fontId="6" fillId="4" borderId="1" xfId="0" applyNumberFormat="1" applyFont="1" applyFill="1" applyBorder="1"/>
    <xf numFmtId="1" fontId="5" fillId="0" borderId="0" xfId="0" applyNumberFormat="1" applyFont="1"/>
    <xf numFmtId="166" fontId="8" fillId="0" borderId="0" xfId="0" applyNumberFormat="1" applyFont="1"/>
    <xf numFmtId="7" fontId="14" fillId="0" borderId="0" xfId="0" applyNumberFormat="1" applyFont="1"/>
    <xf numFmtId="167" fontId="6" fillId="4" borderId="0" xfId="0" applyNumberFormat="1" applyFont="1" applyFill="1"/>
    <xf numFmtId="165" fontId="6" fillId="4" borderId="0" xfId="0" applyNumberFormat="1" applyFont="1" applyFill="1"/>
    <xf numFmtId="167" fontId="6" fillId="2" borderId="0" xfId="0" applyNumberFormat="1" applyFont="1" applyFill="1"/>
    <xf numFmtId="165" fontId="6" fillId="2" borderId="0" xfId="0" applyNumberFormat="1" applyFont="1" applyFill="1"/>
    <xf numFmtId="167" fontId="5" fillId="0" borderId="0" xfId="0" applyNumberFormat="1" applyFont="1"/>
    <xf numFmtId="167" fontId="14" fillId="0" borderId="0" xfId="0" applyNumberFormat="1" applyFont="1"/>
    <xf numFmtId="167" fontId="3" fillId="0" borderId="1" xfId="0" applyNumberFormat="1" applyFont="1" applyBorder="1"/>
    <xf numFmtId="1" fontId="7" fillId="0" borderId="0" xfId="0" applyNumberFormat="1" applyFont="1"/>
    <xf numFmtId="164" fontId="9" fillId="0" borderId="0" xfId="0" applyNumberFormat="1" applyFont="1"/>
    <xf numFmtId="164" fontId="3" fillId="0" borderId="0" xfId="0" applyNumberFormat="1" applyFont="1"/>
    <xf numFmtId="164" fontId="3" fillId="0" borderId="2" xfId="0" applyNumberFormat="1" applyFont="1" applyBorder="1"/>
    <xf numFmtId="168" fontId="5" fillId="0" borderId="0" xfId="0" applyNumberFormat="1" applyFont="1"/>
    <xf numFmtId="0" fontId="5" fillId="0" borderId="0" xfId="0" applyFont="1" applyAlignment="1">
      <alignment vertical="top" wrapText="1"/>
    </xf>
    <xf numFmtId="0" fontId="3" fillId="0" borderId="1" xfId="0" applyFont="1" applyBorder="1"/>
    <xf numFmtId="0" fontId="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4" fillId="0" borderId="0" xfId="0" applyFont="1"/>
  </cellXfs>
  <cellStyles count="1">
    <cellStyle name="Normal" xfId="0" builtinId="0"/>
  </cellStyles>
  <dxfs count="5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Football field: value per share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Summary!$U$6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Summary!$T$7:$T$13</c:f>
              <c:strCache>
                <c:ptCount val="7"/>
                <c:pt idx="0">
                  <c:v>52-week trading range</c:v>
                </c:pt>
                <c:pt idx="1">
                  <c:v>Analyst average target (third party)</c:v>
                </c:pt>
                <c:pt idx="2">
                  <c:v>DCF: cost of capital sensitivity</c:v>
                </c:pt>
                <c:pt idx="3">
                  <c:v>DCF: growth x margin sensitivity</c:v>
                </c:pt>
                <c:pt idx="4">
                  <c:v>DCF: scenario range</c:v>
                </c:pt>
                <c:pt idx="5">
                  <c:v>DCF base case</c:v>
                </c:pt>
                <c:pt idx="6">
                  <c:v>Current share price</c:v>
                </c:pt>
              </c:strCache>
            </c:strRef>
          </c:cat>
          <c:val>
            <c:numRef>
              <c:f>Summary!$U$7:$U$13</c:f>
              <c:numCache>
                <c:formatCode>"$"#,##0.00_);\("$"#,##0.00\)</c:formatCode>
                <c:ptCount val="7"/>
                <c:pt idx="0">
                  <c:v>520.26</c:v>
                </c:pt>
                <c:pt idx="1">
                  <c:v>789.94044999999994</c:v>
                </c:pt>
                <c:pt idx="2">
                  <c:v>570.26715841074474</c:v>
                </c:pt>
                <c:pt idx="3">
                  <c:v>446.57701945567339</c:v>
                </c:pt>
                <c:pt idx="4">
                  <c:v>588.69926412035977</c:v>
                </c:pt>
                <c:pt idx="5">
                  <c:v>753.52918298694624</c:v>
                </c:pt>
                <c:pt idx="6">
                  <c:v>724.43960000000004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5-4B7D-BB4E-17F396E73208}"/>
            </c:ext>
          </c:extLst>
        </c:ser>
        <c:ser>
          <c:idx val="1"/>
          <c:order val="1"/>
          <c:tx>
            <c:strRef>
              <c:f>Summary!$V$6</c:f>
              <c:strCache>
                <c:ptCount val="1"/>
                <c:pt idx="0">
                  <c:v>High - low</c:v>
                </c:pt>
              </c:strCache>
            </c:strRef>
          </c:tx>
          <c:spPr>
            <a:solidFill>
              <a:srgbClr val="13315C"/>
            </a:solidFill>
            <a:ln>
              <a:prstDash val="solid"/>
            </a:ln>
          </c:spPr>
          <c:invertIfNegative val="1"/>
          <c:cat>
            <c:strRef>
              <c:f>Summary!$T$7:$T$13</c:f>
              <c:strCache>
                <c:ptCount val="7"/>
                <c:pt idx="0">
                  <c:v>52-week trading range</c:v>
                </c:pt>
                <c:pt idx="1">
                  <c:v>Analyst average target (third party)</c:v>
                </c:pt>
                <c:pt idx="2">
                  <c:v>DCF: cost of capital sensitivity</c:v>
                </c:pt>
                <c:pt idx="3">
                  <c:v>DCF: growth x margin sensitivity</c:v>
                </c:pt>
                <c:pt idx="4">
                  <c:v>DCF: scenario range</c:v>
                </c:pt>
                <c:pt idx="5">
                  <c:v>DCF base case</c:v>
                </c:pt>
                <c:pt idx="6">
                  <c:v>Current share price</c:v>
                </c:pt>
              </c:strCache>
            </c:strRef>
          </c:cat>
          <c:val>
            <c:numRef>
              <c:f>Summary!$V$7:$V$13</c:f>
              <c:numCache>
                <c:formatCode>"$"#,##0.00_);\("$"#,##0.00\)</c:formatCode>
                <c:ptCount val="7"/>
                <c:pt idx="0">
                  <c:v>259.56000000000006</c:v>
                </c:pt>
                <c:pt idx="1">
                  <c:v>7.9390999999999394</c:v>
                </c:pt>
                <c:pt idx="2">
                  <c:v>499.2837021036562</c:v>
                </c:pt>
                <c:pt idx="3">
                  <c:v>912.67971629720535</c:v>
                </c:pt>
                <c:pt idx="4">
                  <c:v>270.9493735575569</c:v>
                </c:pt>
                <c:pt idx="5">
                  <c:v>7.5731576179591684</c:v>
                </c:pt>
                <c:pt idx="6">
                  <c:v>7.2807999999998856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E5-4B7D-BB4E-17F396E73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6300000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stockanalysis.com/stocks/meta/" TargetMode="External"/><Relationship Id="rId1" Type="http://schemas.openxmlformats.org/officeDocument/2006/relationships/hyperlink" Target="https://www.sec.gov/Archives/edgar/data/1326801/000162828026050705/meta-2026063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3"/>
  <sheetViews>
    <sheetView showGridLines="0" tabSelected="1" workbookViewId="0"/>
  </sheetViews>
  <sheetFormatPr defaultRowHeight="14.5" x14ac:dyDescent="0.35"/>
  <cols>
    <col min="1" max="1" width="3" customWidth="1"/>
    <col min="2" max="2" width="4" customWidth="1"/>
    <col min="3" max="3" width="38" customWidth="1"/>
    <col min="4" max="4" width="70" customWidth="1"/>
  </cols>
  <sheetData>
    <row r="1" spans="1:4" x14ac:dyDescent="0.35">
      <c r="A1" s="1"/>
      <c r="B1" s="1"/>
      <c r="C1" s="1"/>
      <c r="D1" s="1"/>
    </row>
    <row r="2" spans="1:4" x14ac:dyDescent="0.35">
      <c r="A2" s="1"/>
      <c r="B2" s="2"/>
      <c r="C2" s="2"/>
      <c r="D2" s="2"/>
    </row>
    <row r="3" spans="1:4" ht="25" x14ac:dyDescent="0.5">
      <c r="A3" s="1"/>
      <c r="B3" s="2"/>
      <c r="C3" s="3" t="s">
        <v>0</v>
      </c>
      <c r="D3" s="2"/>
    </row>
    <row r="4" spans="1:4" x14ac:dyDescent="0.35">
      <c r="A4" s="1"/>
      <c r="B4" s="2"/>
      <c r="C4" s="2"/>
      <c r="D4" s="2"/>
    </row>
    <row r="5" spans="1:4" ht="16.5" x14ac:dyDescent="0.35">
      <c r="A5" s="1"/>
      <c r="B5" s="2"/>
      <c r="C5" s="4" t="s">
        <v>1</v>
      </c>
      <c r="D5" s="2"/>
    </row>
    <row r="6" spans="1:4" x14ac:dyDescent="0.35">
      <c r="A6" s="1"/>
      <c r="B6" s="2"/>
      <c r="C6" s="2"/>
      <c r="D6" s="2"/>
    </row>
    <row r="7" spans="1:4" x14ac:dyDescent="0.35">
      <c r="A7" s="1"/>
      <c r="B7" s="2"/>
      <c r="C7" s="5" t="s">
        <v>2</v>
      </c>
      <c r="D7" s="2"/>
    </row>
    <row r="8" spans="1:4" x14ac:dyDescent="0.35">
      <c r="A8" s="1"/>
      <c r="B8" s="2"/>
      <c r="C8" s="2"/>
      <c r="D8" s="2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6" t="s">
        <v>3</v>
      </c>
      <c r="D10" s="1"/>
    </row>
    <row r="11" spans="1:4" x14ac:dyDescent="0.35">
      <c r="A11" s="1"/>
      <c r="B11" s="1"/>
      <c r="C11" s="7" t="s">
        <v>4</v>
      </c>
      <c r="D11" s="8">
        <f>ValuePerShare</f>
        <v>757.31576179592582</v>
      </c>
    </row>
    <row r="12" spans="1:4" x14ac:dyDescent="0.35">
      <c r="A12" s="1"/>
      <c r="B12" s="1"/>
      <c r="C12" s="7" t="s">
        <v>5</v>
      </c>
      <c r="D12" s="8">
        <f>SharePrice</f>
        <v>728.08</v>
      </c>
    </row>
    <row r="13" spans="1:4" x14ac:dyDescent="0.35">
      <c r="A13" s="1"/>
      <c r="B13" s="1"/>
      <c r="C13" s="7" t="s">
        <v>6</v>
      </c>
      <c r="D13" s="9">
        <f>DCF!C51</f>
        <v>0.96139554559567719</v>
      </c>
    </row>
    <row r="14" spans="1:4" x14ac:dyDescent="0.35">
      <c r="A14" s="1"/>
      <c r="B14" s="1"/>
      <c r="C14" s="7" t="s">
        <v>7</v>
      </c>
      <c r="D14" s="10" t="str">
        <f>IF(AllChecksPass,"All checks pass","CHECK FAILURES - see Checks tab")</f>
        <v>All checks pass</v>
      </c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6" t="s">
        <v>8</v>
      </c>
      <c r="D16" s="1"/>
    </row>
    <row r="17" spans="1:4" x14ac:dyDescent="0.35">
      <c r="A17" s="1"/>
      <c r="B17" s="1"/>
      <c r="C17" s="11" t="s">
        <v>9</v>
      </c>
      <c r="D17" s="7" t="s">
        <v>10</v>
      </c>
    </row>
    <row r="18" spans="1:4" x14ac:dyDescent="0.35">
      <c r="A18" s="1"/>
      <c r="B18" s="1"/>
      <c r="C18" s="11" t="s">
        <v>11</v>
      </c>
      <c r="D18" s="7" t="s">
        <v>12</v>
      </c>
    </row>
    <row r="19" spans="1:4" x14ac:dyDescent="0.35">
      <c r="A19" s="1"/>
      <c r="B19" s="1"/>
      <c r="C19" s="11" t="s">
        <v>13</v>
      </c>
      <c r="D19" s="7" t="s">
        <v>14</v>
      </c>
    </row>
    <row r="20" spans="1:4" x14ac:dyDescent="0.35">
      <c r="A20" s="1"/>
      <c r="B20" s="1"/>
      <c r="C20" s="11" t="s">
        <v>15</v>
      </c>
      <c r="D20" s="7" t="s">
        <v>16</v>
      </c>
    </row>
    <row r="21" spans="1:4" x14ac:dyDescent="0.35">
      <c r="A21" s="1"/>
      <c r="B21" s="1"/>
      <c r="C21" s="11" t="s">
        <v>17</v>
      </c>
      <c r="D21" s="7" t="s">
        <v>18</v>
      </c>
    </row>
    <row r="22" spans="1:4" x14ac:dyDescent="0.35">
      <c r="A22" s="1"/>
      <c r="B22" s="1"/>
      <c r="C22" s="11" t="s">
        <v>19</v>
      </c>
      <c r="D22" s="7" t="s">
        <v>20</v>
      </c>
    </row>
    <row r="23" spans="1:4" x14ac:dyDescent="0.35">
      <c r="A23" s="1"/>
      <c r="B23" s="1"/>
      <c r="C23" s="11" t="s">
        <v>21</v>
      </c>
      <c r="D23" s="7" t="s">
        <v>22</v>
      </c>
    </row>
    <row r="24" spans="1:4" x14ac:dyDescent="0.35">
      <c r="A24" s="1"/>
      <c r="B24" s="1"/>
      <c r="C24" s="11" t="s">
        <v>23</v>
      </c>
      <c r="D24" s="7" t="s">
        <v>24</v>
      </c>
    </row>
    <row r="25" spans="1:4" x14ac:dyDescent="0.35">
      <c r="A25" s="1"/>
      <c r="B25" s="1"/>
      <c r="C25" s="11" t="s">
        <v>25</v>
      </c>
      <c r="D25" s="7" t="s">
        <v>26</v>
      </c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6" t="s">
        <v>27</v>
      </c>
      <c r="D27" s="1"/>
    </row>
    <row r="28" spans="1:4" x14ac:dyDescent="0.35">
      <c r="A28" s="1"/>
      <c r="B28" s="1"/>
      <c r="C28" s="12" t="s">
        <v>28</v>
      </c>
      <c r="D28" s="1"/>
    </row>
    <row r="29" spans="1:4" x14ac:dyDescent="0.35">
      <c r="A29" s="1"/>
      <c r="B29" s="1"/>
      <c r="C29" s="7" t="s">
        <v>29</v>
      </c>
      <c r="D29" s="1"/>
    </row>
    <row r="30" spans="1:4" x14ac:dyDescent="0.35">
      <c r="A30" s="1"/>
      <c r="B30" s="1"/>
      <c r="C30" s="13" t="s">
        <v>30</v>
      </c>
      <c r="D30" s="1"/>
    </row>
    <row r="31" spans="1:4" x14ac:dyDescent="0.35">
      <c r="A31" s="1"/>
      <c r="B31" s="1"/>
      <c r="C31" s="14" t="s">
        <v>31</v>
      </c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5" t="s">
        <v>32</v>
      </c>
      <c r="D33" s="1"/>
    </row>
  </sheetData>
  <hyperlinks>
    <hyperlink ref="C17" location="'Summary'!A1" display="Summary" xr:uid="{00000000-0004-0000-0000-000000000000}"/>
    <hyperlink ref="C18" location="'Inputs'!A1" display="Inputs" xr:uid="{00000000-0004-0000-0000-000001000000}"/>
    <hyperlink ref="C19" location="'Scenarios'!A1" display="Scenarios" xr:uid="{00000000-0004-0000-0000-000002000000}"/>
    <hyperlink ref="C20" location="'Sensitivity'!A1" display="Sensitivity" xr:uid="{00000000-0004-0000-0000-000003000000}"/>
    <hyperlink ref="C21" location="'WACC'!A1" display="WACC" xr:uid="{00000000-0004-0000-0000-000004000000}"/>
    <hyperlink ref="C22" location="'DCF'!A1" display="DCF" xr:uid="{00000000-0004-0000-0000-000005000000}"/>
    <hyperlink ref="C23" location="'Diagnostics'!A1" display="Diagnostics" xr:uid="{00000000-0004-0000-0000-000006000000}"/>
    <hyperlink ref="C24" location="'Checks'!A1" display="Checks" xr:uid="{00000000-0004-0000-0000-000007000000}"/>
    <hyperlink ref="C25" location="'Sources'!A1" display="Sources" xr:uid="{00000000-0004-0000-0000-000008000000}"/>
  </hyperlinks>
  <printOptions horizontalCentered="1"/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0"/>
  <sheetViews>
    <sheetView showGridLines="0" zoomScale="85" workbookViewId="0"/>
  </sheetViews>
  <sheetFormatPr defaultRowHeight="14.5" x14ac:dyDescent="0.35"/>
  <cols>
    <col min="1" max="1" width="2" customWidth="1"/>
    <col min="2" max="2" width="50" customWidth="1"/>
    <col min="3" max="3" width="14" customWidth="1"/>
    <col min="4" max="4" width="12" customWidth="1"/>
    <col min="5" max="5" width="3" customWidth="1"/>
    <col min="6" max="6" width="40" customWidth="1"/>
    <col min="7" max="7" width="14" customWidth="1"/>
    <col min="8" max="8" width="3" customWidth="1"/>
    <col min="20" max="20" width="36" customWidth="1"/>
    <col min="21" max="23" width="11" customWidth="1"/>
  </cols>
  <sheetData>
    <row r="1" spans="1:2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" x14ac:dyDescent="0.4">
      <c r="A2" s="1"/>
      <c r="B2" s="16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/>
      <c r="B3" s="17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A5" s="1"/>
      <c r="B5" s="18" t="s">
        <v>35</v>
      </c>
      <c r="C5" s="2"/>
      <c r="D5" s="2"/>
      <c r="E5" s="1"/>
      <c r="F5" s="18" t="s">
        <v>36</v>
      </c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8" t="s">
        <v>37</v>
      </c>
      <c r="U5" s="2"/>
      <c r="V5" s="2"/>
      <c r="W5" s="2"/>
    </row>
    <row r="6" spans="1:23" x14ac:dyDescent="0.35">
      <c r="A6" s="1"/>
      <c r="B6" s="6" t="s">
        <v>4</v>
      </c>
      <c r="C6" s="19">
        <f>ValuePerShare</f>
        <v>757.31576179592582</v>
      </c>
      <c r="D6" s="1"/>
      <c r="E6" s="1"/>
      <c r="F6" s="7" t="s">
        <v>38</v>
      </c>
      <c r="G6" s="20">
        <f>DCF!C39</f>
        <v>1921162.9031751212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1" t="s">
        <v>39</v>
      </c>
      <c r="U6" s="21" t="s">
        <v>40</v>
      </c>
      <c r="V6" s="21" t="s">
        <v>41</v>
      </c>
      <c r="W6" s="21" t="s">
        <v>42</v>
      </c>
    </row>
    <row r="7" spans="1:23" x14ac:dyDescent="0.35">
      <c r="A7" s="1"/>
      <c r="B7" s="7" t="s">
        <v>43</v>
      </c>
      <c r="C7" s="22">
        <f>SharePrice</f>
        <v>728.08</v>
      </c>
      <c r="D7" s="1"/>
      <c r="E7" s="1"/>
      <c r="F7" s="7" t="s">
        <v>44</v>
      </c>
      <c r="G7" s="23">
        <f>-DCF!C40</f>
        <v>-112318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7" t="s">
        <v>45</v>
      </c>
      <c r="U7" s="24">
        <f>Inputs!$C$8</f>
        <v>520.26</v>
      </c>
      <c r="V7" s="22">
        <f t="shared" ref="V7:V13" si="0">W7-U7</f>
        <v>259.56000000000006</v>
      </c>
      <c r="W7" s="24">
        <f>Inputs!$C$9</f>
        <v>779.82</v>
      </c>
    </row>
    <row r="8" spans="1:23" x14ac:dyDescent="0.35">
      <c r="A8" s="1"/>
      <c r="B8" s="7" t="s">
        <v>46</v>
      </c>
      <c r="C8" s="25">
        <f>DCF!C52</f>
        <v>4.0154600862440715E-2</v>
      </c>
      <c r="D8" s="1"/>
      <c r="E8" s="1"/>
      <c r="F8" s="7" t="s">
        <v>47</v>
      </c>
      <c r="G8" s="23">
        <f>-DCF!C41</f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7" t="s">
        <v>48</v>
      </c>
      <c r="U8" s="22">
        <f>Inputs!$C$10*0.995</f>
        <v>789.94044999999994</v>
      </c>
      <c r="V8" s="22">
        <f t="shared" si="0"/>
        <v>7.9390999999999394</v>
      </c>
      <c r="W8" s="22">
        <f>Inputs!$C$10*1.005</f>
        <v>797.87954999999988</v>
      </c>
    </row>
    <row r="9" spans="1:23" x14ac:dyDescent="0.35">
      <c r="A9" s="1"/>
      <c r="B9" s="7" t="s">
        <v>6</v>
      </c>
      <c r="C9" s="25">
        <f>DCF!C51</f>
        <v>0.96139554559567719</v>
      </c>
      <c r="D9" s="1"/>
      <c r="E9" s="1"/>
      <c r="F9" s="7" t="s">
        <v>49</v>
      </c>
      <c r="G9" s="20">
        <f>DCF!C42</f>
        <v>90260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7" t="s">
        <v>50</v>
      </c>
      <c r="U9" s="22">
        <f>MIN(Sensitivity!C14:G22)</f>
        <v>570.26715841074474</v>
      </c>
      <c r="V9" s="22">
        <f t="shared" si="0"/>
        <v>499.2837021036562</v>
      </c>
      <c r="W9" s="22">
        <f>MAX(Sensitivity!C14:G22)</f>
        <v>1069.5508605144009</v>
      </c>
    </row>
    <row r="10" spans="1:23" x14ac:dyDescent="0.35">
      <c r="A10" s="1"/>
      <c r="B10" s="7" t="s">
        <v>51</v>
      </c>
      <c r="C10" s="23">
        <f>SharePrice*Inputs!$C$7</f>
        <v>1854783.8</v>
      </c>
      <c r="D10" s="1"/>
      <c r="E10" s="1"/>
      <c r="F10" s="7" t="s">
        <v>52</v>
      </c>
      <c r="G10" s="23">
        <f>-DCF!C43</f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7" t="s">
        <v>53</v>
      </c>
      <c r="U10" s="22">
        <f>MIN(Sensitivity!C28:G34)</f>
        <v>446.57701945567339</v>
      </c>
      <c r="V10" s="22">
        <f t="shared" si="0"/>
        <v>912.67971629720535</v>
      </c>
      <c r="W10" s="22">
        <f>MAX(Sensitivity!C28:G34)</f>
        <v>1359.2567357528787</v>
      </c>
    </row>
    <row r="11" spans="1:23" x14ac:dyDescent="0.35">
      <c r="A11" s="1"/>
      <c r="B11" s="7" t="s">
        <v>54</v>
      </c>
      <c r="C11" s="23">
        <f>OperatingAssets</f>
        <v>1921162.9031751212</v>
      </c>
      <c r="D11" s="1"/>
      <c r="E11" s="1"/>
      <c r="F11" s="7" t="s">
        <v>55</v>
      </c>
      <c r="G11" s="20">
        <f>DCF!C44</f>
        <v>30157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7" t="s">
        <v>56</v>
      </c>
      <c r="U11" s="22">
        <f>MIN(Scenarios!K8:K17)</f>
        <v>588.69926412035977</v>
      </c>
      <c r="V11" s="22">
        <f t="shared" si="0"/>
        <v>270.9493735575569</v>
      </c>
      <c r="W11" s="22">
        <f>MAX(Scenarios!K8:K17)</f>
        <v>859.64863767791667</v>
      </c>
    </row>
    <row r="12" spans="1:23" x14ac:dyDescent="0.35">
      <c r="A12" s="1"/>
      <c r="B12" s="7" t="s">
        <v>57</v>
      </c>
      <c r="C12" s="20">
        <f>DCF!C46</f>
        <v>1929261.9031751212</v>
      </c>
      <c r="D12" s="1"/>
      <c r="E12" s="1"/>
      <c r="F12" s="7" t="s">
        <v>58</v>
      </c>
      <c r="G12" s="20">
        <f>DCF!C45</f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7" t="s">
        <v>59</v>
      </c>
      <c r="U12" s="22">
        <f>ValuePerShare*0.995</f>
        <v>753.52918298694624</v>
      </c>
      <c r="V12" s="22">
        <f t="shared" si="0"/>
        <v>7.5731576179591684</v>
      </c>
      <c r="W12" s="22">
        <f>ValuePerShare*1.005</f>
        <v>761.10234060490541</v>
      </c>
    </row>
    <row r="13" spans="1:23" x14ac:dyDescent="0.35">
      <c r="A13" s="1"/>
      <c r="B13" s="7" t="s">
        <v>60</v>
      </c>
      <c r="C13" s="26" t="str">
        <f>TEXT(DCF!C27,"0.00%")&amp;" / "&amp;TEXT(DCF!C30,"0.00%")</f>
        <v>8.51% / 9.48%</v>
      </c>
      <c r="D13" s="1"/>
      <c r="E13" s="1"/>
      <c r="F13" s="6" t="s">
        <v>61</v>
      </c>
      <c r="G13" s="27">
        <f>DCF!C46</f>
        <v>1929261.9031751212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7" t="s">
        <v>43</v>
      </c>
      <c r="U13" s="22">
        <f>SharePrice*0.995</f>
        <v>724.43960000000004</v>
      </c>
      <c r="V13" s="22">
        <f t="shared" si="0"/>
        <v>7.2807999999998856</v>
      </c>
      <c r="W13" s="22">
        <f>SharePrice*1.005</f>
        <v>731.72039999999993</v>
      </c>
    </row>
    <row r="14" spans="1:23" x14ac:dyDescent="0.35">
      <c r="A14" s="1"/>
      <c r="B14" s="7" t="s">
        <v>62</v>
      </c>
      <c r="C14" s="28">
        <f>DCF!C31</f>
        <v>5.28E-2</v>
      </c>
      <c r="D14" s="1"/>
      <c r="E14" s="1"/>
      <c r="F14" s="7" t="s">
        <v>63</v>
      </c>
      <c r="G14" s="23">
        <f>-DCF!C47</f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"/>
      <c r="B15" s="7" t="s">
        <v>64</v>
      </c>
      <c r="C15" s="20">
        <f>DCF!M8</f>
        <v>647621.10249717731</v>
      </c>
      <c r="D15" s="1"/>
      <c r="E15" s="1"/>
      <c r="F15" s="7" t="s">
        <v>65</v>
      </c>
      <c r="G15" s="20">
        <f>DCF!C48</f>
        <v>2547.5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"/>
      <c r="B16" s="7" t="s">
        <v>66</v>
      </c>
      <c r="C16" s="29">
        <v>0.38571536197716783</v>
      </c>
      <c r="D16" s="1"/>
      <c r="E16" s="1"/>
      <c r="F16" s="6" t="s">
        <v>67</v>
      </c>
      <c r="G16" s="30">
        <f>DCF!C49</f>
        <v>757.31576179592582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"/>
      <c r="B19" s="18" t="s">
        <v>68</v>
      </c>
      <c r="C19" s="2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"/>
      <c r="B20" s="21" t="s">
        <v>69</v>
      </c>
      <c r="C20" s="21" t="s">
        <v>70</v>
      </c>
      <c r="D20" s="21" t="s">
        <v>71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"/>
      <c r="B21" s="13" t="str">
        <f>Scenarios!C8</f>
        <v>Base case</v>
      </c>
      <c r="C21" s="24">
        <f>Scenarios!K8</f>
        <v>757.31576179592582</v>
      </c>
      <c r="D21" s="31">
        <f t="shared" ref="D21:D30" si="1">C21/SharePrice-1</f>
        <v>4.0154600862440715E-2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"/>
      <c r="B22" s="13" t="str">
        <f>Scenarios!C9</f>
        <v>Sales-to-capital 1.5 in yrs 1-5 (Damodaran Feb-2024)</v>
      </c>
      <c r="C22" s="24">
        <f>Scenarios!K9</f>
        <v>841.90509252638572</v>
      </c>
      <c r="D22" s="31">
        <f t="shared" si="1"/>
        <v>0.15633596929785964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"/>
      <c r="B23" s="13" t="str">
        <f>Scenarios!C10</f>
        <v>Sales-to-capital 0.3 in yrs 1-5 (2026 capex pace)</v>
      </c>
      <c r="C23" s="24">
        <f>Scenarios!K10</f>
        <v>672.72643106546604</v>
      </c>
      <c r="D23" s="31">
        <f t="shared" si="1"/>
        <v>-7.6026767572978216E-2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"/>
      <c r="B24" s="13" t="str">
        <f>Scenarios!C11</f>
        <v>Growth yrs 2-5 at 8% (ad market slows)</v>
      </c>
      <c r="C24" s="24">
        <f>Scenarios!K11</f>
        <v>661.03077565584351</v>
      </c>
      <c r="D24" s="31">
        <f t="shared" si="1"/>
        <v>-9.2090463059219529E-2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"/>
      <c r="B25" s="13" t="str">
        <f>Scenarios!C12</f>
        <v>Growth yrs 2-5 at 15% (AI lifts ad pricing)</v>
      </c>
      <c r="C25" s="24">
        <f>Scenarios!K12</f>
        <v>842.2927688812407</v>
      </c>
      <c r="D25" s="31">
        <f t="shared" si="1"/>
        <v>0.15686843325079747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"/>
      <c r="B26" s="13" t="str">
        <f>Scenarios!C13</f>
        <v>Target margin 35% (AI depreciation and legal costs)</v>
      </c>
      <c r="C26" s="24">
        <f>Scenarios!K13</f>
        <v>654.98288591393498</v>
      </c>
      <c r="D26" s="31">
        <f t="shared" si="1"/>
        <v>-0.1003970910972215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"/>
      <c r="B27" s="13" t="str">
        <f>Scenarios!C14</f>
        <v>Target margin 45% (AI pays off in efficiency)</v>
      </c>
      <c r="C27" s="24">
        <f>Scenarios!K14</f>
        <v>859.64863767791667</v>
      </c>
      <c r="D27" s="31">
        <f t="shared" si="1"/>
        <v>0.18070629282210282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"/>
      <c r="B28" s="13" t="str">
        <f>Scenarios!C15</f>
        <v>Terminal ROIC = cost of capital (Ginzu default)</v>
      </c>
      <c r="C28" s="24">
        <f>Scenarios!K15</f>
        <v>588.69926412035977</v>
      </c>
      <c r="D28" s="31">
        <f t="shared" si="1"/>
        <v>-0.19143601785468667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"/>
      <c r="B29" s="13" t="str">
        <f>Scenarios!C16</f>
        <v>Next-year revenue = 4 x Q3 guidance midpoint ($250bn)</v>
      </c>
      <c r="C29" s="24">
        <f>Scenarios!K16</f>
        <v>674.72861097607574</v>
      </c>
      <c r="D29" s="31">
        <f t="shared" si="1"/>
        <v>-7.327682263477131E-2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"/>
      <c r="B30" s="13" t="str">
        <f>Scenarios!C17</f>
        <v>10% chance of failure (youth-harm litigation)</v>
      </c>
      <c r="C30" s="24">
        <f>Scenarios!K17</f>
        <v>719.6089334706046</v>
      </c>
      <c r="D30" s="31">
        <f t="shared" si="1"/>
        <v>-1.1634801847867582E-2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</sheetData>
  <printOptions horizontalCentered="1"/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7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6" customWidth="1"/>
    <col min="3" max="12" width="11" customWidth="1"/>
    <col min="13" max="13" width="2" customWidth="1"/>
    <col min="14" max="14" width="80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x14ac:dyDescent="0.4">
      <c r="A2" s="1"/>
      <c r="B2" s="16" t="s">
        <v>72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1"/>
      <c r="B3" s="17" t="s">
        <v>73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1"/>
      <c r="B4" s="1"/>
      <c r="C4" s="21" t="s">
        <v>74</v>
      </c>
      <c r="D4" s="21" t="s">
        <v>75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1"/>
      <c r="B5" s="18" t="s">
        <v>76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5">
      <c r="A6" s="1"/>
      <c r="B6" s="7" t="s">
        <v>5</v>
      </c>
      <c r="C6" s="32">
        <v>728.08</v>
      </c>
      <c r="D6" s="1"/>
      <c r="E6" s="1"/>
      <c r="F6" s="1"/>
      <c r="G6" s="1"/>
      <c r="H6" s="1"/>
      <c r="I6" s="1"/>
      <c r="J6" s="1"/>
      <c r="K6" s="1"/>
      <c r="L6" s="1"/>
      <c r="M6" s="1"/>
      <c r="N6" s="33" t="s">
        <v>77</v>
      </c>
    </row>
    <row r="7" spans="1:14" x14ac:dyDescent="0.35">
      <c r="A7" s="1"/>
      <c r="B7" s="7" t="s">
        <v>65</v>
      </c>
      <c r="C7" s="34">
        <v>2547.5</v>
      </c>
      <c r="D7" s="1"/>
      <c r="E7" s="1"/>
      <c r="F7" s="1"/>
      <c r="G7" s="1"/>
      <c r="H7" s="1"/>
      <c r="I7" s="1"/>
      <c r="J7" s="1"/>
      <c r="K7" s="1"/>
      <c r="L7" s="1"/>
      <c r="M7" s="1"/>
      <c r="N7" s="33" t="s">
        <v>78</v>
      </c>
    </row>
    <row r="8" spans="1:14" x14ac:dyDescent="0.35">
      <c r="A8" s="1"/>
      <c r="B8" s="7" t="s">
        <v>79</v>
      </c>
      <c r="C8" s="32">
        <v>520.26</v>
      </c>
      <c r="D8" s="1"/>
      <c r="E8" s="1"/>
      <c r="F8" s="1"/>
      <c r="G8" s="1"/>
      <c r="H8" s="1"/>
      <c r="I8" s="1"/>
      <c r="J8" s="1"/>
      <c r="K8" s="1"/>
      <c r="L8" s="1"/>
      <c r="M8" s="1"/>
      <c r="N8" s="33" t="s">
        <v>80</v>
      </c>
    </row>
    <row r="9" spans="1:14" x14ac:dyDescent="0.35">
      <c r="A9" s="1"/>
      <c r="B9" s="7" t="s">
        <v>81</v>
      </c>
      <c r="C9" s="32">
        <v>779.82</v>
      </c>
      <c r="D9" s="1"/>
      <c r="E9" s="1"/>
      <c r="F9" s="1"/>
      <c r="G9" s="1"/>
      <c r="H9" s="1"/>
      <c r="I9" s="1"/>
      <c r="J9" s="1"/>
      <c r="K9" s="1"/>
      <c r="L9" s="1"/>
      <c r="M9" s="1"/>
      <c r="N9" s="33" t="s">
        <v>80</v>
      </c>
    </row>
    <row r="10" spans="1:14" x14ac:dyDescent="0.35">
      <c r="A10" s="1"/>
      <c r="B10" s="7" t="s">
        <v>82</v>
      </c>
      <c r="C10" s="32">
        <v>793.91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33" t="s">
        <v>80</v>
      </c>
    </row>
    <row r="11" spans="1:14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5">
      <c r="A12" s="1"/>
      <c r="B12" s="18" t="s">
        <v>83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20" x14ac:dyDescent="0.35">
      <c r="A13" s="1"/>
      <c r="B13" s="7" t="s">
        <v>84</v>
      </c>
      <c r="C13" s="34">
        <v>228247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33" t="s">
        <v>85</v>
      </c>
    </row>
    <row r="14" spans="1:14" x14ac:dyDescent="0.35">
      <c r="A14" s="1"/>
      <c r="B14" s="7" t="s">
        <v>86</v>
      </c>
      <c r="C14" s="34">
        <v>86926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33" t="s">
        <v>87</v>
      </c>
    </row>
    <row r="15" spans="1:14" x14ac:dyDescent="0.35">
      <c r="A15" s="1"/>
      <c r="B15" s="7" t="s">
        <v>88</v>
      </c>
      <c r="C15" s="34">
        <v>261221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33" t="s">
        <v>89</v>
      </c>
    </row>
    <row r="16" spans="1:14" ht="20" x14ac:dyDescent="0.35">
      <c r="A16" s="1"/>
      <c r="B16" s="7" t="s">
        <v>90</v>
      </c>
      <c r="C16" s="34">
        <v>112318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33" t="s">
        <v>91</v>
      </c>
    </row>
    <row r="17" spans="1:14" x14ac:dyDescent="0.35">
      <c r="A17" s="1"/>
      <c r="B17" s="7" t="s">
        <v>92</v>
      </c>
      <c r="C17" s="34">
        <v>90260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33" t="s">
        <v>93</v>
      </c>
    </row>
    <row r="18" spans="1:14" x14ac:dyDescent="0.35">
      <c r="A18" s="1"/>
      <c r="B18" s="7" t="s">
        <v>94</v>
      </c>
      <c r="C18" s="34">
        <v>30157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33" t="s">
        <v>95</v>
      </c>
    </row>
    <row r="19" spans="1:14" x14ac:dyDescent="0.35">
      <c r="A19" s="1"/>
      <c r="B19" s="7" t="s">
        <v>96</v>
      </c>
      <c r="C19" s="34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33" t="s">
        <v>97</v>
      </c>
    </row>
    <row r="20" spans="1:14" x14ac:dyDescent="0.35">
      <c r="A20" s="1"/>
      <c r="B20" s="7" t="s">
        <v>98</v>
      </c>
      <c r="C20" s="34">
        <v>178804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33" t="s">
        <v>99</v>
      </c>
    </row>
    <row r="21" spans="1:14" x14ac:dyDescent="0.35">
      <c r="A21" s="1"/>
      <c r="B21" s="7" t="s">
        <v>100</v>
      </c>
      <c r="C21" s="34"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33" t="s">
        <v>101</v>
      </c>
    </row>
    <row r="22" spans="1:14" x14ac:dyDescent="0.35">
      <c r="A22" s="1"/>
      <c r="B22" s="7" t="s">
        <v>102</v>
      </c>
      <c r="C22" s="34">
        <v>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33" t="s">
        <v>103</v>
      </c>
    </row>
    <row r="23" spans="1:14" x14ac:dyDescent="0.35">
      <c r="A23" s="1"/>
      <c r="B23" s="7" t="s">
        <v>104</v>
      </c>
      <c r="C23" s="35"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33" t="s">
        <v>105</v>
      </c>
    </row>
    <row r="24" spans="1:1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1"/>
      <c r="B25" s="18" t="s">
        <v>106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0" x14ac:dyDescent="0.35">
      <c r="A26" s="1"/>
      <c r="B26" s="7" t="s">
        <v>107</v>
      </c>
      <c r="C26" s="29">
        <v>0.23</v>
      </c>
      <c r="D26" s="31">
        <f>INDEX(Scenarios!$H$8:$H$17,Scenarios!$D$5)</f>
        <v>0.23</v>
      </c>
      <c r="E26" s="1"/>
      <c r="F26" s="1"/>
      <c r="G26" s="1"/>
      <c r="H26" s="1"/>
      <c r="I26" s="1"/>
      <c r="J26" s="1"/>
      <c r="K26" s="1"/>
      <c r="L26" s="1"/>
      <c r="M26" s="1"/>
      <c r="N26" s="33" t="s">
        <v>108</v>
      </c>
    </row>
    <row r="27" spans="1:14" x14ac:dyDescent="0.35">
      <c r="A27" s="1"/>
      <c r="B27" s="7" t="s">
        <v>109</v>
      </c>
      <c r="C27" s="29">
        <v>0.12</v>
      </c>
      <c r="D27" s="31">
        <f>INDEX(Scenarios!$E$8:$E$17,Scenarios!$D$5)</f>
        <v>0.12</v>
      </c>
      <c r="E27" s="1"/>
      <c r="F27" s="1"/>
      <c r="G27" s="1"/>
      <c r="H27" s="1"/>
      <c r="I27" s="1"/>
      <c r="J27" s="1"/>
      <c r="K27" s="1"/>
      <c r="L27" s="1"/>
      <c r="M27" s="1"/>
      <c r="N27" s="33" t="s">
        <v>110</v>
      </c>
    </row>
    <row r="28" spans="1:14" ht="20" x14ac:dyDescent="0.35">
      <c r="A28" s="1"/>
      <c r="B28" s="7" t="s">
        <v>111</v>
      </c>
      <c r="C28" s="29">
        <v>0.46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33" t="s">
        <v>112</v>
      </c>
    </row>
    <row r="29" spans="1:14" x14ac:dyDescent="0.35">
      <c r="A29" s="1"/>
      <c r="B29" s="7" t="s">
        <v>113</v>
      </c>
      <c r="C29" s="29">
        <v>0.4</v>
      </c>
      <c r="D29" s="31">
        <f>INDEX(Scenarios!$F$8:$F$17,Scenarios!$D$5)</f>
        <v>0.4</v>
      </c>
      <c r="E29" s="1"/>
      <c r="F29" s="1"/>
      <c r="G29" s="1"/>
      <c r="H29" s="1"/>
      <c r="I29" s="1"/>
      <c r="J29" s="1"/>
      <c r="K29" s="1"/>
      <c r="L29" s="1"/>
      <c r="M29" s="1"/>
      <c r="N29" s="33" t="s">
        <v>114</v>
      </c>
    </row>
    <row r="30" spans="1:14" x14ac:dyDescent="0.35">
      <c r="A30" s="1"/>
      <c r="B30" s="7" t="s">
        <v>115</v>
      </c>
      <c r="C30" s="35">
        <v>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33" t="s">
        <v>116</v>
      </c>
    </row>
    <row r="31" spans="1:14" ht="30" x14ac:dyDescent="0.35">
      <c r="A31" s="1"/>
      <c r="B31" s="7" t="s">
        <v>117</v>
      </c>
      <c r="C31" s="36">
        <v>0.5</v>
      </c>
      <c r="D31" s="37">
        <f>INDEX(Scenarios!$D$8:$D$17,Scenarios!$D$5)</f>
        <v>0.5</v>
      </c>
      <c r="E31" s="1"/>
      <c r="F31" s="1"/>
      <c r="G31" s="1"/>
      <c r="H31" s="1"/>
      <c r="I31" s="1"/>
      <c r="J31" s="1"/>
      <c r="K31" s="1"/>
      <c r="L31" s="1"/>
      <c r="M31" s="1"/>
      <c r="N31" s="33" t="s">
        <v>118</v>
      </c>
    </row>
    <row r="32" spans="1:14" x14ac:dyDescent="0.35">
      <c r="A32" s="1"/>
      <c r="B32" s="7" t="s">
        <v>119</v>
      </c>
      <c r="C32" s="36">
        <v>1.5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33" t="s">
        <v>120</v>
      </c>
    </row>
    <row r="33" spans="1:1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/>
      <c r="B34" s="18" t="s">
        <v>121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20" x14ac:dyDescent="0.35">
      <c r="A35" s="1"/>
      <c r="B35" s="7" t="s">
        <v>122</v>
      </c>
      <c r="C35" s="29">
        <v>0.16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33" t="s">
        <v>123</v>
      </c>
    </row>
    <row r="36" spans="1:14" x14ac:dyDescent="0.35">
      <c r="A36" s="1"/>
      <c r="B36" s="7" t="s">
        <v>124</v>
      </c>
      <c r="C36" s="29">
        <v>0.25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33" t="s">
        <v>125</v>
      </c>
    </row>
    <row r="37" spans="1:14" x14ac:dyDescent="0.35">
      <c r="A37" s="1"/>
      <c r="B37" s="7" t="s">
        <v>126</v>
      </c>
      <c r="C37" s="35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33" t="s">
        <v>127</v>
      </c>
    </row>
    <row r="38" spans="1:14" x14ac:dyDescent="0.35">
      <c r="A38" s="1"/>
      <c r="B38" s="7" t="s">
        <v>128</v>
      </c>
      <c r="C38" s="38">
        <v>5.28E-2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33" t="s">
        <v>129</v>
      </c>
    </row>
    <row r="39" spans="1:14" x14ac:dyDescent="0.35">
      <c r="A39" s="1"/>
      <c r="B39" s="7" t="s">
        <v>130</v>
      </c>
      <c r="C39" s="38">
        <v>4.2000000000000003E-2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33" t="s">
        <v>131</v>
      </c>
    </row>
    <row r="40" spans="1:14" x14ac:dyDescent="0.35">
      <c r="A40" s="1"/>
      <c r="B40" s="7" t="s">
        <v>132</v>
      </c>
      <c r="C40" s="29">
        <v>0.15</v>
      </c>
      <c r="D40" s="31">
        <f>INDEX(Scenarios!$G$8:$G$17,Scenarios!$D$5)</f>
        <v>0.15</v>
      </c>
      <c r="E40" s="1"/>
      <c r="F40" s="1"/>
      <c r="G40" s="1"/>
      <c r="H40" s="1"/>
      <c r="I40" s="1"/>
      <c r="J40" s="1"/>
      <c r="K40" s="1"/>
      <c r="L40" s="1"/>
      <c r="M40" s="1"/>
      <c r="N40" s="33" t="s">
        <v>133</v>
      </c>
    </row>
    <row r="41" spans="1:14" x14ac:dyDescent="0.35">
      <c r="A41" s="1"/>
      <c r="B41" s="7" t="s">
        <v>134</v>
      </c>
      <c r="C41" s="35">
        <v>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33" t="s">
        <v>135</v>
      </c>
    </row>
    <row r="42" spans="1:14" x14ac:dyDescent="0.35">
      <c r="A42" s="1"/>
      <c r="B42" s="7" t="s">
        <v>136</v>
      </c>
      <c r="C42" s="29">
        <v>0</v>
      </c>
      <c r="D42" s="31">
        <f>INDEX(Scenarios!$I$8:$I$17,Scenarios!$D$5)</f>
        <v>0</v>
      </c>
      <c r="E42" s="1"/>
      <c r="F42" s="1"/>
      <c r="G42" s="1"/>
      <c r="H42" s="1"/>
      <c r="I42" s="1"/>
      <c r="J42" s="1"/>
      <c r="K42" s="1"/>
      <c r="L42" s="1"/>
      <c r="M42" s="1"/>
      <c r="N42" s="33" t="s">
        <v>137</v>
      </c>
    </row>
    <row r="43" spans="1:14" x14ac:dyDescent="0.35">
      <c r="A43" s="1"/>
      <c r="B43" s="7" t="s">
        <v>138</v>
      </c>
      <c r="C43" s="12" t="s">
        <v>139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33" t="s">
        <v>140</v>
      </c>
    </row>
    <row r="44" spans="1:14" x14ac:dyDescent="0.35">
      <c r="A44" s="1"/>
      <c r="B44" s="7" t="s">
        <v>141</v>
      </c>
      <c r="C44" s="29">
        <v>0</v>
      </c>
      <c r="D44" s="31">
        <f>INDEX(Scenarios!$J$8:$J$17,Scenarios!$D$5)</f>
        <v>0</v>
      </c>
      <c r="E44" s="1"/>
      <c r="F44" s="1"/>
      <c r="G44" s="1"/>
      <c r="H44" s="1"/>
      <c r="I44" s="1"/>
      <c r="J44" s="1"/>
      <c r="K44" s="1"/>
      <c r="L44" s="1"/>
      <c r="M44" s="1"/>
      <c r="N44" s="33" t="s">
        <v>140</v>
      </c>
    </row>
    <row r="45" spans="1:14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/>
      <c r="B46" s="18" t="s">
        <v>142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20" x14ac:dyDescent="0.35">
      <c r="A47" s="1"/>
      <c r="B47" s="7" t="s">
        <v>143</v>
      </c>
      <c r="C47" s="34">
        <v>71634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33" t="s">
        <v>144</v>
      </c>
    </row>
    <row r="48" spans="1:14" x14ac:dyDescent="0.35">
      <c r="A48" s="1"/>
      <c r="B48" s="7" t="s">
        <v>145</v>
      </c>
      <c r="C48" s="35">
        <v>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</row>
    <row r="49" spans="1:14" x14ac:dyDescent="0.35">
      <c r="A49" s="1"/>
      <c r="B49" s="7" t="s">
        <v>146</v>
      </c>
      <c r="C49" s="34">
        <v>57372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</row>
    <row r="50" spans="1:14" x14ac:dyDescent="0.35">
      <c r="A50" s="1"/>
      <c r="B50" s="7" t="s">
        <v>147</v>
      </c>
      <c r="C50" s="34">
        <v>43873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</row>
    <row r="51" spans="1:14" x14ac:dyDescent="0.35">
      <c r="A51" s="1"/>
      <c r="B51" s="7" t="s">
        <v>148</v>
      </c>
      <c r="C51" s="34">
        <v>38483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</row>
    <row r="52" spans="1:14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5">
      <c r="A53" s="1"/>
      <c r="B53" s="18" t="s">
        <v>149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5">
      <c r="A54" s="1"/>
      <c r="B54" s="7" t="s">
        <v>150</v>
      </c>
      <c r="C54" s="29">
        <v>0.1767452173913043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33" t="s">
        <v>151</v>
      </c>
    </row>
    <row r="55" spans="1:14" x14ac:dyDescent="0.35">
      <c r="A55" s="1"/>
      <c r="B55" s="7" t="s">
        <v>152</v>
      </c>
      <c r="C55" s="29">
        <v>0.1019039142882163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33" t="s">
        <v>151</v>
      </c>
    </row>
    <row r="56" spans="1:14" x14ac:dyDescent="0.35">
      <c r="A56" s="1"/>
      <c r="B56" s="7" t="s">
        <v>153</v>
      </c>
      <c r="C56" s="36">
        <v>3.853284109074878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33" t="s">
        <v>151</v>
      </c>
    </row>
    <row r="57" spans="1:14" x14ac:dyDescent="0.35">
      <c r="A57" s="1"/>
      <c r="B57" s="7" t="s">
        <v>154</v>
      </c>
      <c r="C57" s="29">
        <v>7.8061237361683022E-2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33" t="s">
        <v>151</v>
      </c>
    </row>
  </sheetData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7"/>
  <sheetViews>
    <sheetView showGridLines="0" zoomScale="85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5" customWidth="1"/>
    <col min="3" max="3" width="48" customWidth="1"/>
    <col min="4" max="12" width="13" customWidth="1"/>
    <col min="14" max="14" width="6" customWidth="1"/>
    <col min="15" max="15" width="12" customWidth="1"/>
  </cols>
  <sheetData>
    <row r="1" spans="1: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x14ac:dyDescent="0.4">
      <c r="A2" s="1"/>
      <c r="B2" s="16" t="s">
        <v>155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5">
      <c r="A3" s="1"/>
      <c r="B3" s="17" t="s">
        <v>156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1"/>
      <c r="B5" s="1"/>
      <c r="C5" s="6" t="s">
        <v>157</v>
      </c>
      <c r="D5" s="39">
        <v>1</v>
      </c>
      <c r="E5" s="7" t="str">
        <f>INDEX($C$8:$C$17,$D$5)</f>
        <v>Base case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5" t="s">
        <v>158</v>
      </c>
      <c r="O6" s="1"/>
    </row>
    <row r="7" spans="1:15" ht="66" customHeight="1" x14ac:dyDescent="0.35">
      <c r="A7" s="1"/>
      <c r="B7" s="21" t="s">
        <v>159</v>
      </c>
      <c r="C7" s="21" t="s">
        <v>69</v>
      </c>
      <c r="D7" s="21" t="s">
        <v>117</v>
      </c>
      <c r="E7" s="21" t="s">
        <v>109</v>
      </c>
      <c r="F7" s="21" t="s">
        <v>113</v>
      </c>
      <c r="G7" s="21" t="s">
        <v>132</v>
      </c>
      <c r="H7" s="21" t="s">
        <v>107</v>
      </c>
      <c r="I7" s="21" t="s">
        <v>136</v>
      </c>
      <c r="J7" s="21" t="s">
        <v>141</v>
      </c>
      <c r="K7" s="21" t="s">
        <v>70</v>
      </c>
      <c r="L7" s="21" t="s">
        <v>71</v>
      </c>
      <c r="M7" s="1"/>
      <c r="N7" s="1"/>
      <c r="O7" s="22">
        <f>ValuePerShare</f>
        <v>757.31576179592582</v>
      </c>
    </row>
    <row r="8" spans="1:15" x14ac:dyDescent="0.35">
      <c r="A8" s="1"/>
      <c r="B8" s="40">
        <v>1</v>
      </c>
      <c r="C8" s="7" t="s">
        <v>160</v>
      </c>
      <c r="D8" s="41">
        <f>Inputs!$C$31</f>
        <v>0.5</v>
      </c>
      <c r="E8" s="25">
        <f>Inputs!$C$27</f>
        <v>0.12</v>
      </c>
      <c r="F8" s="25">
        <f>Inputs!$C$29</f>
        <v>0.4</v>
      </c>
      <c r="G8" s="25">
        <f>Inputs!$C$40</f>
        <v>0.15</v>
      </c>
      <c r="H8" s="25">
        <f>Inputs!$C$26</f>
        <v>0.23</v>
      </c>
      <c r="I8" s="25">
        <f>Inputs!$C$42</f>
        <v>0</v>
      </c>
      <c r="J8" s="25">
        <f>Inputs!$C$44</f>
        <v>0</v>
      </c>
      <c r="K8" s="22">
        <f t="shared" ref="K8:K17" si="0">O8</f>
        <v>757.31576179592582</v>
      </c>
      <c r="L8" s="31">
        <f t="shared" ref="L8:L17" si="1">K8/SharePrice-1</f>
        <v>4.0154600862440715E-2</v>
      </c>
      <c r="M8" s="1"/>
      <c r="N8" s="40">
        <v>1</v>
      </c>
      <c r="O8" s="42">
        <f t="dataTable" ref="O8:O17" dt2D="0" dtr="0" r1="D5" ca="1"/>
        <v>757.31576179592582</v>
      </c>
    </row>
    <row r="9" spans="1:15" x14ac:dyDescent="0.35">
      <c r="A9" s="1"/>
      <c r="B9" s="40">
        <v>2</v>
      </c>
      <c r="C9" s="7" t="s">
        <v>161</v>
      </c>
      <c r="D9" s="36">
        <v>1.5</v>
      </c>
      <c r="E9" s="31">
        <f t="shared" ref="E9:J10" si="2">E$8</f>
        <v>0.12</v>
      </c>
      <c r="F9" s="31">
        <f t="shared" si="2"/>
        <v>0.4</v>
      </c>
      <c r="G9" s="31">
        <f t="shared" si="2"/>
        <v>0.15</v>
      </c>
      <c r="H9" s="31">
        <f t="shared" si="2"/>
        <v>0.23</v>
      </c>
      <c r="I9" s="31">
        <f t="shared" si="2"/>
        <v>0</v>
      </c>
      <c r="J9" s="31">
        <f t="shared" si="2"/>
        <v>0</v>
      </c>
      <c r="K9" s="22">
        <f t="shared" si="0"/>
        <v>841.90509252638572</v>
      </c>
      <c r="L9" s="31">
        <f t="shared" si="1"/>
        <v>0.15633596929785964</v>
      </c>
      <c r="M9" s="1"/>
      <c r="N9" s="40">
        <v>2</v>
      </c>
      <c r="O9" s="42">
        <v>841.90509252638572</v>
      </c>
    </row>
    <row r="10" spans="1:15" x14ac:dyDescent="0.35">
      <c r="A10" s="1"/>
      <c r="B10" s="40">
        <v>3</v>
      </c>
      <c r="C10" s="7" t="s">
        <v>162</v>
      </c>
      <c r="D10" s="36">
        <v>0.3</v>
      </c>
      <c r="E10" s="31">
        <f t="shared" si="2"/>
        <v>0.12</v>
      </c>
      <c r="F10" s="31">
        <f t="shared" si="2"/>
        <v>0.4</v>
      </c>
      <c r="G10" s="31">
        <f t="shared" si="2"/>
        <v>0.15</v>
      </c>
      <c r="H10" s="31">
        <f t="shared" si="2"/>
        <v>0.23</v>
      </c>
      <c r="I10" s="31">
        <f t="shared" si="2"/>
        <v>0</v>
      </c>
      <c r="J10" s="31">
        <f t="shared" si="2"/>
        <v>0</v>
      </c>
      <c r="K10" s="22">
        <f t="shared" si="0"/>
        <v>672.72643106546604</v>
      </c>
      <c r="L10" s="31">
        <f t="shared" si="1"/>
        <v>-7.6026767572978216E-2</v>
      </c>
      <c r="M10" s="1"/>
      <c r="N10" s="40">
        <v>3</v>
      </c>
      <c r="O10" s="42">
        <v>672.72643106546604</v>
      </c>
    </row>
    <row r="11" spans="1:15" x14ac:dyDescent="0.35">
      <c r="A11" s="1"/>
      <c r="B11" s="40">
        <v>4</v>
      </c>
      <c r="C11" s="7" t="s">
        <v>163</v>
      </c>
      <c r="D11" s="37">
        <f t="shared" ref="D11:D17" si="3">D$8</f>
        <v>0.5</v>
      </c>
      <c r="E11" s="29">
        <v>0.08</v>
      </c>
      <c r="F11" s="31">
        <f t="shared" ref="F11:J12" si="4">F$8</f>
        <v>0.4</v>
      </c>
      <c r="G11" s="31">
        <f t="shared" si="4"/>
        <v>0.15</v>
      </c>
      <c r="H11" s="31">
        <f t="shared" si="4"/>
        <v>0.23</v>
      </c>
      <c r="I11" s="31">
        <f t="shared" si="4"/>
        <v>0</v>
      </c>
      <c r="J11" s="31">
        <f t="shared" si="4"/>
        <v>0</v>
      </c>
      <c r="K11" s="22">
        <f t="shared" si="0"/>
        <v>661.03077565584351</v>
      </c>
      <c r="L11" s="31">
        <f t="shared" si="1"/>
        <v>-9.2090463059219529E-2</v>
      </c>
      <c r="M11" s="1"/>
      <c r="N11" s="40">
        <v>4</v>
      </c>
      <c r="O11" s="42">
        <v>661.03077565584351</v>
      </c>
    </row>
    <row r="12" spans="1:15" x14ac:dyDescent="0.35">
      <c r="A12" s="1"/>
      <c r="B12" s="40">
        <v>5</v>
      </c>
      <c r="C12" s="7" t="s">
        <v>164</v>
      </c>
      <c r="D12" s="37">
        <f t="shared" si="3"/>
        <v>0.5</v>
      </c>
      <c r="E12" s="29">
        <v>0.15</v>
      </c>
      <c r="F12" s="31">
        <f t="shared" si="4"/>
        <v>0.4</v>
      </c>
      <c r="G12" s="31">
        <f t="shared" si="4"/>
        <v>0.15</v>
      </c>
      <c r="H12" s="31">
        <f t="shared" si="4"/>
        <v>0.23</v>
      </c>
      <c r="I12" s="31">
        <f t="shared" si="4"/>
        <v>0</v>
      </c>
      <c r="J12" s="31">
        <f t="shared" si="4"/>
        <v>0</v>
      </c>
      <c r="K12" s="22">
        <f t="shared" si="0"/>
        <v>842.2927688812407</v>
      </c>
      <c r="L12" s="31">
        <f t="shared" si="1"/>
        <v>0.15686843325079747</v>
      </c>
      <c r="M12" s="1"/>
      <c r="N12" s="40">
        <v>5</v>
      </c>
      <c r="O12" s="42">
        <v>842.2927688812407</v>
      </c>
    </row>
    <row r="13" spans="1:15" x14ac:dyDescent="0.35">
      <c r="A13" s="1"/>
      <c r="B13" s="40">
        <v>6</v>
      </c>
      <c r="C13" s="7" t="s">
        <v>165</v>
      </c>
      <c r="D13" s="37">
        <f t="shared" si="3"/>
        <v>0.5</v>
      </c>
      <c r="E13" s="31">
        <f>E$8</f>
        <v>0.12</v>
      </c>
      <c r="F13" s="29">
        <v>0.35</v>
      </c>
      <c r="G13" s="31">
        <f t="shared" ref="G13:J14" si="5">G$8</f>
        <v>0.15</v>
      </c>
      <c r="H13" s="31">
        <f t="shared" si="5"/>
        <v>0.23</v>
      </c>
      <c r="I13" s="31">
        <f t="shared" si="5"/>
        <v>0</v>
      </c>
      <c r="J13" s="31">
        <f t="shared" si="5"/>
        <v>0</v>
      </c>
      <c r="K13" s="22">
        <f t="shared" si="0"/>
        <v>654.98288591393498</v>
      </c>
      <c r="L13" s="31">
        <f t="shared" si="1"/>
        <v>-0.1003970910972215</v>
      </c>
      <c r="M13" s="1"/>
      <c r="N13" s="40">
        <v>6</v>
      </c>
      <c r="O13" s="42">
        <v>654.98288591393498</v>
      </c>
    </row>
    <row r="14" spans="1:15" x14ac:dyDescent="0.35">
      <c r="A14" s="1"/>
      <c r="B14" s="40">
        <v>7</v>
      </c>
      <c r="C14" s="7" t="s">
        <v>166</v>
      </c>
      <c r="D14" s="37">
        <f t="shared" si="3"/>
        <v>0.5</v>
      </c>
      <c r="E14" s="31">
        <f>E$8</f>
        <v>0.12</v>
      </c>
      <c r="F14" s="29">
        <v>0.45</v>
      </c>
      <c r="G14" s="31">
        <f t="shared" si="5"/>
        <v>0.15</v>
      </c>
      <c r="H14" s="31">
        <f t="shared" si="5"/>
        <v>0.23</v>
      </c>
      <c r="I14" s="31">
        <f t="shared" si="5"/>
        <v>0</v>
      </c>
      <c r="J14" s="31">
        <f t="shared" si="5"/>
        <v>0</v>
      </c>
      <c r="K14" s="22">
        <f t="shared" si="0"/>
        <v>859.64863767791667</v>
      </c>
      <c r="L14" s="31">
        <f t="shared" si="1"/>
        <v>0.18070629282210282</v>
      </c>
      <c r="M14" s="1"/>
      <c r="N14" s="40">
        <v>7</v>
      </c>
      <c r="O14" s="42">
        <v>859.64863767791667</v>
      </c>
    </row>
    <row r="15" spans="1:15" x14ac:dyDescent="0.35">
      <c r="A15" s="1"/>
      <c r="B15" s="40">
        <v>8</v>
      </c>
      <c r="C15" s="7" t="s">
        <v>167</v>
      </c>
      <c r="D15" s="37">
        <f t="shared" si="3"/>
        <v>0.5</v>
      </c>
      <c r="E15" s="31">
        <f>E$8</f>
        <v>0.12</v>
      </c>
      <c r="F15" s="31">
        <f>F$8</f>
        <v>0.4</v>
      </c>
      <c r="G15" s="29">
        <v>9.4799999999999995E-2</v>
      </c>
      <c r="H15" s="31">
        <f>H$8</f>
        <v>0.23</v>
      </c>
      <c r="I15" s="31">
        <f>I$8</f>
        <v>0</v>
      </c>
      <c r="J15" s="31">
        <f>J$8</f>
        <v>0</v>
      </c>
      <c r="K15" s="22">
        <f t="shared" si="0"/>
        <v>588.69926412035977</v>
      </c>
      <c r="L15" s="31">
        <f t="shared" si="1"/>
        <v>-0.19143601785468667</v>
      </c>
      <c r="M15" s="1"/>
      <c r="N15" s="40">
        <v>8</v>
      </c>
      <c r="O15" s="42">
        <v>588.69926412035977</v>
      </c>
    </row>
    <row r="16" spans="1:15" x14ac:dyDescent="0.35">
      <c r="A16" s="1"/>
      <c r="B16" s="40">
        <v>9</v>
      </c>
      <c r="C16" s="7" t="s">
        <v>168</v>
      </c>
      <c r="D16" s="37">
        <f t="shared" si="3"/>
        <v>0.5</v>
      </c>
      <c r="E16" s="31">
        <f>E$8</f>
        <v>0.12</v>
      </c>
      <c r="F16" s="31">
        <f>F$8</f>
        <v>0.4</v>
      </c>
      <c r="G16" s="31">
        <f>G$8</f>
        <v>0.15</v>
      </c>
      <c r="H16" s="29">
        <v>9.5299999999999996E-2</v>
      </c>
      <c r="I16" s="31">
        <f>I$8</f>
        <v>0</v>
      </c>
      <c r="J16" s="31">
        <f>J$8</f>
        <v>0</v>
      </c>
      <c r="K16" s="22">
        <f t="shared" si="0"/>
        <v>674.72861097607574</v>
      </c>
      <c r="L16" s="31">
        <f t="shared" si="1"/>
        <v>-7.327682263477131E-2</v>
      </c>
      <c r="M16" s="1"/>
      <c r="N16" s="40">
        <v>9</v>
      </c>
      <c r="O16" s="42">
        <v>674.72861097607574</v>
      </c>
    </row>
    <row r="17" spans="1:15" x14ac:dyDescent="0.35">
      <c r="A17" s="1"/>
      <c r="B17" s="40">
        <v>10</v>
      </c>
      <c r="C17" s="7" t="s">
        <v>169</v>
      </c>
      <c r="D17" s="37">
        <f t="shared" si="3"/>
        <v>0.5</v>
      </c>
      <c r="E17" s="31">
        <f>E$8</f>
        <v>0.12</v>
      </c>
      <c r="F17" s="31">
        <f>F$8</f>
        <v>0.4</v>
      </c>
      <c r="G17" s="31">
        <f>G$8</f>
        <v>0.15</v>
      </c>
      <c r="H17" s="31">
        <f>H$8</f>
        <v>0.23</v>
      </c>
      <c r="I17" s="29">
        <v>0.1</v>
      </c>
      <c r="J17" s="29">
        <v>0.5</v>
      </c>
      <c r="K17" s="22">
        <f t="shared" si="0"/>
        <v>719.6089334706046</v>
      </c>
      <c r="L17" s="31">
        <f t="shared" si="1"/>
        <v>-1.1634801847867582E-2</v>
      </c>
      <c r="M17" s="1"/>
      <c r="N17" s="40">
        <v>10</v>
      </c>
      <c r="O17" s="42">
        <v>719.6089334706046</v>
      </c>
    </row>
  </sheetData>
  <printOptions horizontalCentered="1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6"/>
  <sheetViews>
    <sheetView showGridLines="0" zoomScale="85" workbookViewId="0"/>
  </sheetViews>
  <sheetFormatPr defaultRowHeight="14.5" x14ac:dyDescent="0.35"/>
  <cols>
    <col min="1" max="1" width="2" customWidth="1"/>
    <col min="2" max="2" width="44" customWidth="1"/>
    <col min="3" max="8" width="13" customWidth="1"/>
    <col min="9" max="9" width="36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ht="20" x14ac:dyDescent="0.4">
      <c r="A2" s="1"/>
      <c r="B2" s="16" t="s">
        <v>170</v>
      </c>
      <c r="C2" s="1"/>
      <c r="D2" s="1"/>
      <c r="E2" s="1"/>
      <c r="F2" s="1"/>
      <c r="G2" s="1"/>
      <c r="H2" s="1"/>
      <c r="I2" s="1"/>
    </row>
    <row r="3" spans="1:9" x14ac:dyDescent="0.35">
      <c r="A3" s="1"/>
      <c r="B3" s="17" t="s">
        <v>171</v>
      </c>
      <c r="C3" s="1"/>
      <c r="D3" s="1"/>
      <c r="E3" s="1"/>
      <c r="F3" s="1"/>
      <c r="G3" s="1"/>
      <c r="H3" s="1"/>
      <c r="I3" s="1"/>
    </row>
    <row r="4" spans="1:9" x14ac:dyDescent="0.35">
      <c r="A4" s="1"/>
      <c r="B4" s="18" t="s">
        <v>172</v>
      </c>
      <c r="C4" s="2"/>
      <c r="D4" s="2"/>
      <c r="E4" s="2"/>
      <c r="F4" s="2"/>
      <c r="G4" s="2"/>
      <c r="H4" s="2"/>
      <c r="I4" s="2"/>
    </row>
    <row r="5" spans="1:9" x14ac:dyDescent="0.35">
      <c r="A5" s="1"/>
      <c r="B5" s="7" t="s">
        <v>173</v>
      </c>
      <c r="C5" s="43">
        <v>0</v>
      </c>
      <c r="D5" s="1"/>
      <c r="E5" s="1"/>
      <c r="F5" s="1"/>
      <c r="G5" s="1"/>
      <c r="H5" s="1"/>
      <c r="I5" s="1"/>
    </row>
    <row r="6" spans="1:9" x14ac:dyDescent="0.35">
      <c r="A6" s="1"/>
      <c r="B6" s="7" t="s">
        <v>174</v>
      </c>
      <c r="C6" s="43">
        <v>0</v>
      </c>
      <c r="D6" s="1"/>
      <c r="E6" s="1"/>
      <c r="F6" s="1"/>
      <c r="G6" s="1"/>
      <c r="H6" s="1"/>
      <c r="I6" s="1"/>
    </row>
    <row r="7" spans="1:9" x14ac:dyDescent="0.35">
      <c r="A7" s="1"/>
      <c r="B7" s="7" t="s">
        <v>175</v>
      </c>
      <c r="C7" s="44">
        <v>0</v>
      </c>
      <c r="D7" s="1"/>
      <c r="E7" s="1"/>
      <c r="F7" s="1"/>
      <c r="G7" s="1"/>
      <c r="H7" s="1"/>
      <c r="I7" s="1"/>
    </row>
    <row r="8" spans="1:9" x14ac:dyDescent="0.35">
      <c r="A8" s="1"/>
      <c r="B8" s="7" t="s">
        <v>176</v>
      </c>
      <c r="C8" s="44">
        <v>0</v>
      </c>
      <c r="D8" s="1"/>
      <c r="E8" s="1"/>
      <c r="F8" s="1"/>
      <c r="G8" s="1"/>
      <c r="H8" s="1"/>
      <c r="I8" s="1"/>
    </row>
    <row r="9" spans="1:9" x14ac:dyDescent="0.35">
      <c r="A9" s="1"/>
      <c r="B9" s="7" t="s">
        <v>177</v>
      </c>
      <c r="C9" s="43">
        <v>0</v>
      </c>
      <c r="D9" s="1"/>
      <c r="E9" s="1"/>
      <c r="F9" s="1"/>
      <c r="G9" s="1"/>
      <c r="H9" s="1"/>
      <c r="I9" s="1"/>
    </row>
    <row r="10" spans="1:9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8" t="s">
        <v>178</v>
      </c>
      <c r="C11" s="2"/>
      <c r="D11" s="2"/>
      <c r="E11" s="2"/>
      <c r="F11" s="2"/>
      <c r="G11" s="2"/>
      <c r="H11" s="2"/>
      <c r="I11" s="2"/>
    </row>
    <row r="12" spans="1:9" x14ac:dyDescent="0.35">
      <c r="A12" s="1"/>
      <c r="B12" s="15" t="s">
        <v>179</v>
      </c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22">
        <f>ValuePerShare</f>
        <v>757.31576179592582</v>
      </c>
      <c r="C13" s="45">
        <v>-0.01</v>
      </c>
      <c r="D13" s="45">
        <v>-5.0000000000000001E-3</v>
      </c>
      <c r="E13" s="45">
        <v>0</v>
      </c>
      <c r="F13" s="45">
        <v>5.0000000000000001E-3</v>
      </c>
      <c r="G13" s="45">
        <v>0.01</v>
      </c>
      <c r="H13" s="1"/>
      <c r="I13" s="15" t="s">
        <v>180</v>
      </c>
    </row>
    <row r="14" spans="1:9" x14ac:dyDescent="0.35">
      <c r="A14" s="1"/>
      <c r="B14" s="45">
        <v>-0.02</v>
      </c>
      <c r="C14" s="42">
        <f t="dataTable" ref="C14:G22" dt2D="1" dtr="0" r1="C6" r2="C5" ca="1"/>
        <v>1069.5508605144009</v>
      </c>
      <c r="D14" s="42">
        <v>947.96128254137727</v>
      </c>
      <c r="E14" s="42">
        <v>855.21275843788158</v>
      </c>
      <c r="F14" s="42">
        <v>782.10223100765654</v>
      </c>
      <c r="G14" s="42">
        <v>722.96625152854529</v>
      </c>
      <c r="H14" s="1"/>
      <c r="I14" s="6" t="s">
        <v>43</v>
      </c>
    </row>
    <row r="15" spans="1:9" x14ac:dyDescent="0.35">
      <c r="A15" s="1"/>
      <c r="B15" s="45">
        <v>-1.4999999999999999E-2</v>
      </c>
      <c r="C15" s="42">
        <v>1036.8247638428272</v>
      </c>
      <c r="D15" s="42">
        <v>919.16288222146306</v>
      </c>
      <c r="E15" s="42">
        <v>829.4103652141473</v>
      </c>
      <c r="F15" s="42">
        <v>758.66145084897983</v>
      </c>
      <c r="G15" s="42">
        <v>701.43564233926577</v>
      </c>
      <c r="H15" s="1"/>
      <c r="I15" s="22">
        <f>SharePrice</f>
        <v>728.08</v>
      </c>
    </row>
    <row r="16" spans="1:9" x14ac:dyDescent="0.35">
      <c r="A16" s="1"/>
      <c r="B16" s="45">
        <v>-0.01</v>
      </c>
      <c r="C16" s="42">
        <v>1005.2586504562646</v>
      </c>
      <c r="D16" s="42">
        <v>891.38214383466754</v>
      </c>
      <c r="E16" s="42">
        <v>804.5170740999298</v>
      </c>
      <c r="F16" s="42">
        <v>736.04420153840181</v>
      </c>
      <c r="G16" s="42">
        <v>680.65935174077003</v>
      </c>
      <c r="H16" s="1"/>
      <c r="I16" s="1"/>
    </row>
    <row r="17" spans="1:9" x14ac:dyDescent="0.35">
      <c r="A17" s="1"/>
      <c r="B17" s="45">
        <v>-5.0000000000000001E-3</v>
      </c>
      <c r="C17" s="42">
        <v>974.80653874807433</v>
      </c>
      <c r="D17" s="42">
        <v>864.5788047579498</v>
      </c>
      <c r="E17" s="42">
        <v>780.49698473610431</v>
      </c>
      <c r="F17" s="42">
        <v>714.21802117351069</v>
      </c>
      <c r="G17" s="42">
        <v>660.60769888958873</v>
      </c>
      <c r="H17" s="1"/>
      <c r="I17" s="1"/>
    </row>
    <row r="18" spans="1:9" x14ac:dyDescent="0.35">
      <c r="A18" s="1"/>
      <c r="B18" s="45">
        <v>0</v>
      </c>
      <c r="C18" s="42">
        <v>945.42445713271172</v>
      </c>
      <c r="D18" s="42">
        <v>838.71435995051661</v>
      </c>
      <c r="E18" s="42">
        <v>757.31576179592582</v>
      </c>
      <c r="F18" s="42">
        <v>693.1518611136828</v>
      </c>
      <c r="G18" s="42">
        <v>641.25229345281446</v>
      </c>
      <c r="H18" s="1"/>
      <c r="I18" s="1"/>
    </row>
    <row r="19" spans="1:9" x14ac:dyDescent="0.35">
      <c r="A19" s="1"/>
      <c r="B19" s="45">
        <v>5.0000000000000001E-3</v>
      </c>
      <c r="C19" s="42">
        <v>917.07034808340006</v>
      </c>
      <c r="D19" s="42">
        <v>813.75197813384182</v>
      </c>
      <c r="E19" s="42">
        <v>734.94056042660054</v>
      </c>
      <c r="F19" s="42">
        <v>672.81601872161389</v>
      </c>
      <c r="G19" s="42">
        <v>622.56597425369182</v>
      </c>
      <c r="H19" s="1"/>
      <c r="I19" s="1"/>
    </row>
    <row r="20" spans="1:9" x14ac:dyDescent="0.35">
      <c r="A20" s="1"/>
      <c r="B20" s="45">
        <v>0.01</v>
      </c>
      <c r="C20" s="42">
        <v>889.70397713539296</v>
      </c>
      <c r="D20" s="42">
        <v>789.65642230517551</v>
      </c>
      <c r="E20" s="42">
        <v>713.33995554221008</v>
      </c>
      <c r="F20" s="42">
        <v>653.18207357620565</v>
      </c>
      <c r="G20" s="42">
        <v>604.52275108122603</v>
      </c>
      <c r="H20" s="1"/>
      <c r="I20" s="1"/>
    </row>
    <row r="21" spans="1:9" x14ac:dyDescent="0.35">
      <c r="A21" s="1"/>
      <c r="B21" s="45">
        <v>1.4999999999999999E-2</v>
      </c>
      <c r="C21" s="42">
        <v>863.28684657810254</v>
      </c>
      <c r="D21" s="42">
        <v>766.39397434321518</v>
      </c>
      <c r="E21" s="42">
        <v>692.48387475368372</v>
      </c>
      <c r="F21" s="42">
        <v>634.22282696376976</v>
      </c>
      <c r="G21" s="42">
        <v>587.09774948798633</v>
      </c>
      <c r="H21" s="1"/>
      <c r="I21" s="1"/>
    </row>
    <row r="22" spans="1:9" x14ac:dyDescent="0.35">
      <c r="A22" s="1"/>
      <c r="B22" s="45">
        <v>0.02</v>
      </c>
      <c r="C22" s="42">
        <v>837.78211357588509</v>
      </c>
      <c r="D22" s="42">
        <v>743.93236347902052</v>
      </c>
      <c r="E22" s="42">
        <v>672.34353473426552</v>
      </c>
      <c r="F22" s="42">
        <v>615.91224446601132</v>
      </c>
      <c r="G22" s="42">
        <v>570.26715841074474</v>
      </c>
      <c r="H22" s="1"/>
      <c r="I22" s="1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1"/>
      <c r="B25" s="18" t="s">
        <v>181</v>
      </c>
      <c r="C25" s="2"/>
      <c r="D25" s="2"/>
      <c r="E25" s="2"/>
      <c r="F25" s="2"/>
      <c r="G25" s="2"/>
      <c r="H25" s="2"/>
      <c r="I25" s="2"/>
    </row>
    <row r="26" spans="1:9" x14ac:dyDescent="0.35">
      <c r="A26" s="1"/>
      <c r="B26" s="15" t="s">
        <v>182</v>
      </c>
      <c r="C26" s="1"/>
      <c r="D26" s="1"/>
      <c r="E26" s="1"/>
      <c r="F26" s="1"/>
      <c r="G26" s="1"/>
      <c r="H26" s="1"/>
      <c r="I26" s="1"/>
    </row>
    <row r="27" spans="1:9" x14ac:dyDescent="0.35">
      <c r="A27" s="1"/>
      <c r="B27" s="22">
        <f>ValuePerShare</f>
        <v>757.31576179592582</v>
      </c>
      <c r="C27" s="46">
        <v>-0.05</v>
      </c>
      <c r="D27" s="46">
        <v>-2.5000000000000001E-2</v>
      </c>
      <c r="E27" s="46">
        <v>0</v>
      </c>
      <c r="F27" s="46">
        <v>2.5000000000000001E-2</v>
      </c>
      <c r="G27" s="46">
        <v>0.05</v>
      </c>
      <c r="H27" s="1"/>
      <c r="I27" s="1"/>
    </row>
    <row r="28" spans="1:9" x14ac:dyDescent="0.35">
      <c r="A28" s="1"/>
      <c r="B28" s="46">
        <v>-0.1</v>
      </c>
      <c r="C28" s="42">
        <f t="dataTable" ref="C28:G34" dt2D="1" dtr="0" r1="C8" r2="C7" ca="1"/>
        <v>446.57701945567339</v>
      </c>
      <c r="D28" s="42">
        <v>474.79569289950018</v>
      </c>
      <c r="E28" s="42">
        <v>503.01436634332714</v>
      </c>
      <c r="F28" s="42">
        <v>531.2330397871541</v>
      </c>
      <c r="G28" s="42">
        <v>559.45171323098089</v>
      </c>
      <c r="H28" s="1"/>
      <c r="I28" s="1"/>
    </row>
    <row r="29" spans="1:9" x14ac:dyDescent="0.35">
      <c r="A29" s="1"/>
      <c r="B29" s="46">
        <v>-0.05</v>
      </c>
      <c r="C29" s="42">
        <v>537.46345703794225</v>
      </c>
      <c r="D29" s="42">
        <v>575.63841989579385</v>
      </c>
      <c r="E29" s="42">
        <v>613.81338275364567</v>
      </c>
      <c r="F29" s="42">
        <v>651.98834561149749</v>
      </c>
      <c r="G29" s="42">
        <v>690.1633084693492</v>
      </c>
      <c r="H29" s="1"/>
      <c r="I29" s="1"/>
    </row>
    <row r="30" spans="1:9" x14ac:dyDescent="0.35">
      <c r="A30" s="1"/>
      <c r="B30" s="46">
        <v>-2.5000000000000001E-2</v>
      </c>
      <c r="C30" s="42">
        <v>592.46754122597838</v>
      </c>
      <c r="D30" s="42">
        <v>636.71381426876553</v>
      </c>
      <c r="E30" s="42">
        <v>680.96008731155291</v>
      </c>
      <c r="F30" s="42">
        <v>725.20636035434018</v>
      </c>
      <c r="G30" s="42">
        <v>769.45263339712744</v>
      </c>
      <c r="H30" s="1"/>
      <c r="I30" s="1"/>
    </row>
    <row r="31" spans="1:9" x14ac:dyDescent="0.35">
      <c r="A31" s="1"/>
      <c r="B31" s="46">
        <v>0</v>
      </c>
      <c r="C31" s="42">
        <v>654.98288591393509</v>
      </c>
      <c r="D31" s="42">
        <v>706.14932385493034</v>
      </c>
      <c r="E31" s="42">
        <v>757.31576179592582</v>
      </c>
      <c r="F31" s="42">
        <v>808.4821997369213</v>
      </c>
      <c r="G31" s="42">
        <v>859.64863767791667</v>
      </c>
      <c r="H31" s="1"/>
      <c r="I31" s="1"/>
    </row>
    <row r="32" spans="1:9" x14ac:dyDescent="0.35">
      <c r="A32" s="1"/>
      <c r="B32" s="46">
        <v>2.5000000000000001E-2</v>
      </c>
      <c r="C32" s="42">
        <v>725.97965473150009</v>
      </c>
      <c r="D32" s="42">
        <v>785.0166608521962</v>
      </c>
      <c r="E32" s="42">
        <v>844.05366697289242</v>
      </c>
      <c r="F32" s="42">
        <v>903.09067309358875</v>
      </c>
      <c r="G32" s="42">
        <v>962.12767921428474</v>
      </c>
      <c r="H32" s="1"/>
      <c r="I32" s="1"/>
    </row>
    <row r="33" spans="1:9" x14ac:dyDescent="0.35">
      <c r="A33" s="1"/>
      <c r="B33" s="46">
        <v>0.05</v>
      </c>
      <c r="C33" s="42">
        <v>806.53148275959745</v>
      </c>
      <c r="D33" s="42">
        <v>874.50110125121864</v>
      </c>
      <c r="E33" s="42">
        <v>942.47071974283983</v>
      </c>
      <c r="F33" s="42">
        <v>1010.440338234461</v>
      </c>
      <c r="G33" s="42">
        <v>1078.4099567260819</v>
      </c>
      <c r="H33" s="1"/>
      <c r="I33" s="1"/>
    </row>
    <row r="34" spans="1:9" x14ac:dyDescent="0.35">
      <c r="A34" s="1"/>
      <c r="B34" s="46">
        <v>0.1</v>
      </c>
      <c r="C34" s="42">
        <v>1001.1652235626037</v>
      </c>
      <c r="D34" s="42">
        <v>1090.6881016101727</v>
      </c>
      <c r="E34" s="42">
        <v>1180.2109796577415</v>
      </c>
      <c r="F34" s="42">
        <v>1269.7338577053104</v>
      </c>
      <c r="G34" s="42">
        <v>1359.2567357528787</v>
      </c>
      <c r="H34" s="1"/>
      <c r="I34" s="1"/>
    </row>
    <row r="35" spans="1:9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18" t="s">
        <v>183</v>
      </c>
      <c r="C37" s="2"/>
      <c r="D37" s="2"/>
      <c r="E37" s="2"/>
      <c r="F37" s="2"/>
      <c r="G37" s="2"/>
      <c r="H37" s="2"/>
      <c r="I37" s="2"/>
    </row>
    <row r="38" spans="1:9" x14ac:dyDescent="0.35">
      <c r="A38" s="1"/>
      <c r="B38" s="6" t="s">
        <v>177</v>
      </c>
      <c r="C38" s="6" t="s">
        <v>70</v>
      </c>
      <c r="D38" s="6" t="s">
        <v>184</v>
      </c>
      <c r="E38" s="1"/>
      <c r="F38" s="1"/>
      <c r="G38" s="1"/>
      <c r="H38" s="1"/>
      <c r="I38" s="1"/>
    </row>
    <row r="39" spans="1:9" x14ac:dyDescent="0.35">
      <c r="A39" s="1"/>
      <c r="B39" s="1"/>
      <c r="C39" s="22">
        <f>ValuePerShare</f>
        <v>757.31576179592582</v>
      </c>
      <c r="D39" s="47">
        <f>WACC_Initial</f>
        <v>8.5061237361683029E-2</v>
      </c>
      <c r="E39" s="1"/>
      <c r="F39" s="1"/>
      <c r="G39" s="1"/>
      <c r="H39" s="1"/>
      <c r="I39" s="1"/>
    </row>
    <row r="40" spans="1:9" x14ac:dyDescent="0.35">
      <c r="A40" s="1"/>
      <c r="B40" s="45">
        <v>-1.4999999999999999E-2</v>
      </c>
      <c r="C40" s="42">
        <f t="dataTable" ref="C40:D46" dt2D="0" dtr="0" r1="C9"/>
        <v>915.44624056593352</v>
      </c>
      <c r="D40" s="48">
        <v>7.0061237361683015E-2</v>
      </c>
      <c r="E40" s="1"/>
      <c r="F40" s="1"/>
      <c r="G40" s="1"/>
      <c r="H40" s="1"/>
      <c r="I40" s="1"/>
    </row>
    <row r="41" spans="1:9" x14ac:dyDescent="0.35">
      <c r="A41" s="1"/>
      <c r="B41" s="45">
        <v>-0.01</v>
      </c>
      <c r="C41" s="42">
        <v>860.31160021994287</v>
      </c>
      <c r="D41" s="48">
        <v>7.506123736168302E-2</v>
      </c>
      <c r="E41" s="1"/>
      <c r="F41" s="1"/>
      <c r="G41" s="1"/>
      <c r="H41" s="1"/>
      <c r="I41" s="1"/>
    </row>
    <row r="42" spans="1:9" x14ac:dyDescent="0.35">
      <c r="A42" s="1"/>
      <c r="B42" s="45">
        <v>-5.0000000000000001E-3</v>
      </c>
      <c r="C42" s="42">
        <v>807.63817047812142</v>
      </c>
      <c r="D42" s="48">
        <v>8.0061237361683024E-2</v>
      </c>
      <c r="E42" s="1"/>
      <c r="F42" s="1"/>
      <c r="G42" s="1"/>
      <c r="H42" s="1"/>
      <c r="I42" s="1"/>
    </row>
    <row r="43" spans="1:9" x14ac:dyDescent="0.35">
      <c r="A43" s="1"/>
      <c r="B43" s="45">
        <v>0</v>
      </c>
      <c r="C43" s="42">
        <v>757.31576179592582</v>
      </c>
      <c r="D43" s="48">
        <v>8.5061237361683029E-2</v>
      </c>
      <c r="E43" s="1"/>
      <c r="F43" s="1"/>
      <c r="G43" s="1"/>
      <c r="H43" s="1"/>
      <c r="I43" s="1"/>
    </row>
    <row r="44" spans="1:9" x14ac:dyDescent="0.35">
      <c r="A44" s="1"/>
      <c r="B44" s="45">
        <v>5.0000000000000001E-3</v>
      </c>
      <c r="C44" s="42">
        <v>709.23941016803985</v>
      </c>
      <c r="D44" s="48">
        <v>9.0061237361683019E-2</v>
      </c>
      <c r="E44" s="1"/>
      <c r="F44" s="1"/>
      <c r="G44" s="1"/>
      <c r="H44" s="1"/>
      <c r="I44" s="1"/>
    </row>
    <row r="45" spans="1:9" x14ac:dyDescent="0.35">
      <c r="A45" s="1"/>
      <c r="B45" s="45">
        <v>0.01</v>
      </c>
      <c r="C45" s="42">
        <v>663.30911121454187</v>
      </c>
      <c r="D45" s="48">
        <v>9.506123736168301E-2</v>
      </c>
      <c r="E45" s="1"/>
      <c r="F45" s="1"/>
      <c r="G45" s="1"/>
      <c r="H45" s="1"/>
      <c r="I45" s="1"/>
    </row>
    <row r="46" spans="1:9" x14ac:dyDescent="0.35">
      <c r="A46" s="1"/>
      <c r="B46" s="45">
        <v>1.4999999999999999E-2</v>
      </c>
      <c r="C46" s="42">
        <v>619.42956880905354</v>
      </c>
      <c r="D46" s="48">
        <v>0.10006123736168301</v>
      </c>
      <c r="E46" s="1"/>
      <c r="F46" s="1"/>
      <c r="G46" s="1"/>
      <c r="H46" s="1"/>
      <c r="I46" s="1"/>
    </row>
  </sheetData>
  <conditionalFormatting sqref="C14:G22">
    <cfRule type="cellIs" dxfId="4" priority="1" operator="greaterThanOrEqual">
      <formula>$I$15</formula>
    </cfRule>
  </conditionalFormatting>
  <conditionalFormatting sqref="C28:G34">
    <cfRule type="cellIs" dxfId="3" priority="2" operator="greaterThanOrEqual">
      <formula>$I$15</formula>
    </cfRule>
  </conditionalFormatting>
  <conditionalFormatting sqref="C40:C46">
    <cfRule type="cellIs" dxfId="2" priority="3" operator="greaterThanOrEqual">
      <formula>$I$15</formula>
    </cfRule>
  </conditionalFormatting>
  <printOptions horizontalCentered="1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3"/>
  <sheetViews>
    <sheetView showGridLines="0" zoomScale="85" workbookViewId="0"/>
  </sheetViews>
  <sheetFormatPr defaultRowHeight="14.5" x14ac:dyDescent="0.35"/>
  <cols>
    <col min="1" max="1" width="2" customWidth="1"/>
    <col min="2" max="2" width="42" customWidth="1"/>
    <col min="3" max="8" width="13" customWidth="1"/>
    <col min="9" max="9" width="3" customWidth="1"/>
    <col min="10" max="10" width="60" customWidth="1"/>
    <col min="11" max="14" width="1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" x14ac:dyDescent="0.4">
      <c r="A2" s="1"/>
      <c r="B2" s="16" t="s">
        <v>185</v>
      </c>
      <c r="C2" s="1"/>
      <c r="D2" s="1"/>
      <c r="E2" s="1"/>
      <c r="F2" s="1"/>
      <c r="G2" s="1"/>
      <c r="H2" s="1"/>
      <c r="I2" s="1"/>
      <c r="J2" s="1"/>
    </row>
    <row r="3" spans="1:10" x14ac:dyDescent="0.35">
      <c r="A3" s="1"/>
      <c r="B3" s="17" t="s">
        <v>186</v>
      </c>
      <c r="C3" s="1"/>
      <c r="D3" s="1"/>
      <c r="E3" s="1"/>
      <c r="F3" s="1"/>
      <c r="G3" s="1"/>
      <c r="H3" s="1"/>
      <c r="I3" s="1"/>
      <c r="J3" s="1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7" t="s">
        <v>187</v>
      </c>
      <c r="C5" s="47">
        <f>Inputs!$C$38+Sensitivity!$C$9</f>
        <v>5.28E-2</v>
      </c>
      <c r="D5" s="1"/>
      <c r="E5" s="1"/>
      <c r="F5" s="1"/>
      <c r="G5" s="1"/>
      <c r="H5" s="1"/>
      <c r="I5" s="1"/>
      <c r="J5" s="1"/>
    </row>
    <row r="6" spans="1:10" x14ac:dyDescent="0.35">
      <c r="A6" s="1"/>
      <c r="B6" s="7" t="s">
        <v>124</v>
      </c>
      <c r="C6" s="25">
        <f>Inputs!$C$36</f>
        <v>0.25</v>
      </c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1"/>
      <c r="B8" s="18" t="s">
        <v>188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1"/>
      <c r="B9" s="7" t="s">
        <v>189</v>
      </c>
      <c r="C9" s="38">
        <v>7.8061237361683022E-2</v>
      </c>
      <c r="D9" s="1"/>
      <c r="E9" s="1"/>
      <c r="F9" s="1"/>
      <c r="G9" s="1"/>
      <c r="H9" s="1"/>
      <c r="I9" s="1"/>
      <c r="J9" s="15" t="s">
        <v>190</v>
      </c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5">
      <c r="A11" s="1"/>
      <c r="B11" s="7" t="s">
        <v>191</v>
      </c>
      <c r="C11" s="38">
        <v>4.58E-2</v>
      </c>
      <c r="D11" s="1"/>
      <c r="E11" s="1"/>
      <c r="F11" s="1"/>
      <c r="G11" s="1"/>
      <c r="H11" s="1"/>
      <c r="I11" s="1"/>
      <c r="J11" s="15" t="s">
        <v>192</v>
      </c>
    </row>
    <row r="12" spans="1:10" x14ac:dyDescent="0.35">
      <c r="A12" s="1"/>
      <c r="B12" s="7" t="s">
        <v>193</v>
      </c>
      <c r="C12" s="47">
        <f>$C$5-C11</f>
        <v>6.9999999999999993E-3</v>
      </c>
      <c r="D12" s="1"/>
      <c r="E12" s="1"/>
      <c r="F12" s="1"/>
      <c r="G12" s="1"/>
      <c r="H12" s="1"/>
      <c r="I12" s="1"/>
      <c r="J12" s="1"/>
    </row>
    <row r="13" spans="1:10" x14ac:dyDescent="0.35">
      <c r="A13" s="1"/>
      <c r="B13" s="6" t="s">
        <v>194</v>
      </c>
      <c r="C13" s="49">
        <f>C9+C12</f>
        <v>8.5061237361683029E-2</v>
      </c>
      <c r="D13" s="1"/>
      <c r="E13" s="1"/>
      <c r="F13" s="1"/>
      <c r="G13" s="1"/>
      <c r="H13" s="1"/>
      <c r="I13" s="1"/>
      <c r="J13" s="1"/>
    </row>
  </sheetData>
  <printOptions horizontalCentered="1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5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6" customWidth="1"/>
    <col min="3" max="14" width="12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x14ac:dyDescent="0.4">
      <c r="A2" s="1"/>
      <c r="B2" s="16" t="s">
        <v>195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1"/>
      <c r="B3" s="17" t="s">
        <v>196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1"/>
      <c r="B4" s="1"/>
      <c r="C4" s="21" t="s">
        <v>197</v>
      </c>
      <c r="D4" s="21" t="s">
        <v>198</v>
      </c>
      <c r="E4" s="21" t="s">
        <v>199</v>
      </c>
      <c r="F4" s="21" t="s">
        <v>200</v>
      </c>
      <c r="G4" s="21" t="s">
        <v>201</v>
      </c>
      <c r="H4" s="21" t="s">
        <v>202</v>
      </c>
      <c r="I4" s="21" t="s">
        <v>203</v>
      </c>
      <c r="J4" s="21" t="s">
        <v>204</v>
      </c>
      <c r="K4" s="21" t="s">
        <v>205</v>
      </c>
      <c r="L4" s="21" t="s">
        <v>206</v>
      </c>
      <c r="M4" s="21" t="s">
        <v>207</v>
      </c>
      <c r="N4" s="21" t="s">
        <v>208</v>
      </c>
    </row>
    <row r="5" spans="1:14" x14ac:dyDescent="0.35">
      <c r="A5" s="1"/>
      <c r="B5" s="7" t="s">
        <v>209</v>
      </c>
      <c r="C5" s="50">
        <v>0</v>
      </c>
      <c r="D5" s="50">
        <v>1</v>
      </c>
      <c r="E5" s="50">
        <v>2</v>
      </c>
      <c r="F5" s="50">
        <v>3</v>
      </c>
      <c r="G5" s="50">
        <v>4</v>
      </c>
      <c r="H5" s="50">
        <v>5</v>
      </c>
      <c r="I5" s="50">
        <v>6</v>
      </c>
      <c r="J5" s="50">
        <v>7</v>
      </c>
      <c r="K5" s="50">
        <v>8</v>
      </c>
      <c r="L5" s="50">
        <v>9</v>
      </c>
      <c r="M5" s="50">
        <v>10</v>
      </c>
      <c r="N5" s="50">
        <v>11</v>
      </c>
    </row>
    <row r="6" spans="1:14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1"/>
      <c r="B7" s="7" t="s">
        <v>210</v>
      </c>
      <c r="C7" s="1"/>
      <c r="D7" s="31">
        <f>Inputs!$D$26+Sensitivity!$C$7</f>
        <v>0.23</v>
      </c>
      <c r="E7" s="31">
        <f>Inputs!$D$27+Sensitivity!$C$7</f>
        <v>0.12</v>
      </c>
      <c r="F7" s="31">
        <f>Inputs!$D$27+Sensitivity!$C$7</f>
        <v>0.12</v>
      </c>
      <c r="G7" s="31">
        <f>Inputs!$D$27+Sensitivity!$C$7</f>
        <v>0.12</v>
      </c>
      <c r="H7" s="31">
        <f>Inputs!$D$27+Sensitivity!$C$7</f>
        <v>0.12</v>
      </c>
      <c r="I7" s="31">
        <f>$H$7-($H$7-$C$31)/5*1</f>
        <v>0.10656</v>
      </c>
      <c r="J7" s="31">
        <f>$H$7-($H$7-$C$31)/5*2</f>
        <v>9.3119999999999994E-2</v>
      </c>
      <c r="K7" s="31">
        <f>$H$7-($H$7-$C$31)/5*3</f>
        <v>7.9680000000000001E-2</v>
      </c>
      <c r="L7" s="31">
        <f>$H$7-($H$7-$C$31)/5*4</f>
        <v>6.6239999999999993E-2</v>
      </c>
      <c r="M7" s="31">
        <f>$H$7-($H$7-$C$31)/5*5</f>
        <v>5.28E-2</v>
      </c>
      <c r="N7" s="31">
        <f>$C$31</f>
        <v>5.28E-2</v>
      </c>
    </row>
    <row r="8" spans="1:14" x14ac:dyDescent="0.35">
      <c r="A8" s="1"/>
      <c r="B8" s="6" t="s">
        <v>211</v>
      </c>
      <c r="C8" s="51">
        <f>Inputs!$C$13</f>
        <v>228247</v>
      </c>
      <c r="D8" s="52">
        <f t="shared" ref="D8:N8" si="0">C8*(1+D7)</f>
        <v>280743.81</v>
      </c>
      <c r="E8" s="52">
        <f t="shared" si="0"/>
        <v>314433.06720000005</v>
      </c>
      <c r="F8" s="52">
        <f t="shared" si="0"/>
        <v>352165.03526400006</v>
      </c>
      <c r="G8" s="52">
        <f t="shared" si="0"/>
        <v>394424.83949568012</v>
      </c>
      <c r="H8" s="52">
        <f t="shared" si="0"/>
        <v>441755.82023516175</v>
      </c>
      <c r="I8" s="52">
        <f t="shared" si="0"/>
        <v>488829.32043942058</v>
      </c>
      <c r="J8" s="52">
        <f t="shared" si="0"/>
        <v>534349.10675873945</v>
      </c>
      <c r="K8" s="52">
        <f t="shared" si="0"/>
        <v>576926.04358527577</v>
      </c>
      <c r="L8" s="52">
        <f t="shared" si="0"/>
        <v>615141.62471236452</v>
      </c>
      <c r="M8" s="52">
        <f t="shared" si="0"/>
        <v>647621.10249717731</v>
      </c>
      <c r="N8" s="52">
        <f t="shared" si="0"/>
        <v>681815.49670902826</v>
      </c>
    </row>
    <row r="9" spans="1:14" x14ac:dyDescent="0.35">
      <c r="A9" s="1"/>
      <c r="B9" s="7" t="s">
        <v>212</v>
      </c>
      <c r="C9" s="31">
        <f>C10/C8</f>
        <v>0.49062638282211812</v>
      </c>
      <c r="D9" s="25">
        <f>Inputs!$C$28</f>
        <v>0.46</v>
      </c>
      <c r="E9" s="31">
        <f>IF(E$5&gt;Inputs!$C$30,(Inputs!$D$29+Sensitivity!$C$8),(Inputs!$D$29+Sensitivity!$C$8)-((Inputs!$D$29+Sensitivity!$C$8)-$D$9)/Inputs!$C$30*(Inputs!$C$30-E$5))</f>
        <v>0.43600000000000005</v>
      </c>
      <c r="F9" s="31">
        <f>IF(F$5&gt;Inputs!$C$30,(Inputs!$D$29+Sensitivity!$C$8),(Inputs!$D$29+Sensitivity!$C$8)-((Inputs!$D$29+Sensitivity!$C$8)-$D$9)/Inputs!$C$30*(Inputs!$C$30-F$5))</f>
        <v>0.42400000000000004</v>
      </c>
      <c r="G9" s="31">
        <f>IF(G$5&gt;Inputs!$C$30,(Inputs!$D$29+Sensitivity!$C$8),(Inputs!$D$29+Sensitivity!$C$8)-((Inputs!$D$29+Sensitivity!$C$8)-$D$9)/Inputs!$C$30*(Inputs!$C$30-G$5))</f>
        <v>0.41200000000000003</v>
      </c>
      <c r="H9" s="31">
        <f>IF(H$5&gt;Inputs!$C$30,(Inputs!$D$29+Sensitivity!$C$8),(Inputs!$D$29+Sensitivity!$C$8)-((Inputs!$D$29+Sensitivity!$C$8)-$D$9)/Inputs!$C$30*(Inputs!$C$30-H$5))</f>
        <v>0.4</v>
      </c>
      <c r="I9" s="31">
        <f>IF(I$5&gt;Inputs!$C$30,(Inputs!$D$29+Sensitivity!$C$8),(Inputs!$D$29+Sensitivity!$C$8)-((Inputs!$D$29+Sensitivity!$C$8)-$D$9)/Inputs!$C$30*(Inputs!$C$30-I$5))</f>
        <v>0.4</v>
      </c>
      <c r="J9" s="31">
        <f>IF(J$5&gt;Inputs!$C$30,(Inputs!$D$29+Sensitivity!$C$8),(Inputs!$D$29+Sensitivity!$C$8)-((Inputs!$D$29+Sensitivity!$C$8)-$D$9)/Inputs!$C$30*(Inputs!$C$30-J$5))</f>
        <v>0.4</v>
      </c>
      <c r="K9" s="31">
        <f>IF(K$5&gt;Inputs!$C$30,(Inputs!$D$29+Sensitivity!$C$8),(Inputs!$D$29+Sensitivity!$C$8)-((Inputs!$D$29+Sensitivity!$C$8)-$D$9)/Inputs!$C$30*(Inputs!$C$30-K$5))</f>
        <v>0.4</v>
      </c>
      <c r="L9" s="31">
        <f>IF(L$5&gt;Inputs!$C$30,(Inputs!$D$29+Sensitivity!$C$8),(Inputs!$D$29+Sensitivity!$C$8)-((Inputs!$D$29+Sensitivity!$C$8)-$D$9)/Inputs!$C$30*(Inputs!$C$30-L$5))</f>
        <v>0.4</v>
      </c>
      <c r="M9" s="31">
        <f>IF(M$5&gt;Inputs!$C$30,(Inputs!$D$29+Sensitivity!$C$8),(Inputs!$D$29+Sensitivity!$C$8)-((Inputs!$D$29+Sensitivity!$C$8)-$D$9)/Inputs!$C$30*(Inputs!$C$30-M$5))</f>
        <v>0.4</v>
      </c>
      <c r="N9" s="31">
        <f>M9</f>
        <v>0.4</v>
      </c>
    </row>
    <row r="10" spans="1:14" x14ac:dyDescent="0.35">
      <c r="A10" s="1"/>
      <c r="B10" s="7" t="s">
        <v>213</v>
      </c>
      <c r="C10" s="23">
        <f>Inputs!$C$14+C57</f>
        <v>111984</v>
      </c>
      <c r="D10" s="23">
        <f t="shared" ref="D10:N10" si="1">D9*D8</f>
        <v>129142.1526</v>
      </c>
      <c r="E10" s="23">
        <f t="shared" si="1"/>
        <v>137092.81729920005</v>
      </c>
      <c r="F10" s="23">
        <f t="shared" si="1"/>
        <v>149317.97495193605</v>
      </c>
      <c r="G10" s="23">
        <f t="shared" si="1"/>
        <v>162503.03387222023</v>
      </c>
      <c r="H10" s="23">
        <f t="shared" si="1"/>
        <v>176702.32809406472</v>
      </c>
      <c r="I10" s="23">
        <f t="shared" si="1"/>
        <v>195531.72817576825</v>
      </c>
      <c r="J10" s="23">
        <f t="shared" si="1"/>
        <v>213739.6427034958</v>
      </c>
      <c r="K10" s="23">
        <f t="shared" si="1"/>
        <v>230770.41743411031</v>
      </c>
      <c r="L10" s="23">
        <f t="shared" si="1"/>
        <v>246056.64988494583</v>
      </c>
      <c r="M10" s="23">
        <f t="shared" si="1"/>
        <v>259048.44099887094</v>
      </c>
      <c r="N10" s="23">
        <f t="shared" si="1"/>
        <v>272726.19868361129</v>
      </c>
    </row>
    <row r="11" spans="1:14" x14ac:dyDescent="0.35">
      <c r="A11" s="1"/>
      <c r="B11" s="7" t="s">
        <v>214</v>
      </c>
      <c r="C11" s="25">
        <f>Inputs!$C$35</f>
        <v>0.16</v>
      </c>
      <c r="D11" s="31">
        <f>C11</f>
        <v>0.16</v>
      </c>
      <c r="E11" s="31">
        <f>D11</f>
        <v>0.16</v>
      </c>
      <c r="F11" s="31">
        <f>E11</f>
        <v>0.16</v>
      </c>
      <c r="G11" s="31">
        <f>F11</f>
        <v>0.16</v>
      </c>
      <c r="H11" s="31">
        <f>G11</f>
        <v>0.16</v>
      </c>
      <c r="I11" s="31">
        <f>H11+(IF(Inputs!$C$37=1,Inputs!$C$35,Inputs!$C$36)-$H$11)/5</f>
        <v>0.17799999999999999</v>
      </c>
      <c r="J11" s="31">
        <f>I11+(IF(Inputs!$C$37=1,Inputs!$C$35,Inputs!$C$36)-$H$11)/5</f>
        <v>0.19599999999999998</v>
      </c>
      <c r="K11" s="31">
        <f>J11+(IF(Inputs!$C$37=1,Inputs!$C$35,Inputs!$C$36)-$H$11)/5</f>
        <v>0.21399999999999997</v>
      </c>
      <c r="L11" s="31">
        <f>K11+(IF(Inputs!$C$37=1,Inputs!$C$35,Inputs!$C$36)-$H$11)/5</f>
        <v>0.23199999999999996</v>
      </c>
      <c r="M11" s="31">
        <f>L11+(IF(Inputs!$C$37=1,Inputs!$C$35,Inputs!$C$36)-$H$11)/5</f>
        <v>0.24999999999999994</v>
      </c>
      <c r="N11" s="31">
        <f>IF(Inputs!$C$37=1,Inputs!$C$35,Inputs!$C$36)</f>
        <v>0.25</v>
      </c>
    </row>
    <row r="12" spans="1:14" x14ac:dyDescent="0.35">
      <c r="A12" s="1"/>
      <c r="B12" s="7" t="s">
        <v>100</v>
      </c>
      <c r="C12" s="20">
        <f>Inputs!$C$21</f>
        <v>0</v>
      </c>
      <c r="D12" s="23">
        <f t="shared" ref="D12:M12" si="2">IF(D10&lt;0,C12-D10,IF(C12&gt;D10,C12-D10,0))</f>
        <v>0</v>
      </c>
      <c r="E12" s="23">
        <f t="shared" si="2"/>
        <v>0</v>
      </c>
      <c r="F12" s="23">
        <f t="shared" si="2"/>
        <v>0</v>
      </c>
      <c r="G12" s="23">
        <f t="shared" si="2"/>
        <v>0</v>
      </c>
      <c r="H12" s="23">
        <f t="shared" si="2"/>
        <v>0</v>
      </c>
      <c r="I12" s="23">
        <f t="shared" si="2"/>
        <v>0</v>
      </c>
      <c r="J12" s="23">
        <f t="shared" si="2"/>
        <v>0</v>
      </c>
      <c r="K12" s="23">
        <f t="shared" si="2"/>
        <v>0</v>
      </c>
      <c r="L12" s="23">
        <f t="shared" si="2"/>
        <v>0</v>
      </c>
      <c r="M12" s="23">
        <f t="shared" si="2"/>
        <v>0</v>
      </c>
      <c r="N12" s="1"/>
    </row>
    <row r="13" spans="1:14" x14ac:dyDescent="0.35">
      <c r="A13" s="1"/>
      <c r="B13" s="7" t="s">
        <v>215</v>
      </c>
      <c r="C13" s="23">
        <f>IF(C10&gt;0,C10*(1-C11),C10)</f>
        <v>94066.559999999998</v>
      </c>
      <c r="D13" s="23">
        <f t="shared" ref="D13:M13" si="3">IF(D10&gt;0,IF(D10&lt;C12,D10,D10-(D10-C12)*D11),D10)</f>
        <v>108479.408184</v>
      </c>
      <c r="E13" s="23">
        <f t="shared" si="3"/>
        <v>115157.96653132804</v>
      </c>
      <c r="F13" s="23">
        <f t="shared" si="3"/>
        <v>125427.09895962628</v>
      </c>
      <c r="G13" s="23">
        <f t="shared" si="3"/>
        <v>136502.54845266498</v>
      </c>
      <c r="H13" s="23">
        <f t="shared" si="3"/>
        <v>148429.95559901436</v>
      </c>
      <c r="I13" s="23">
        <f t="shared" si="3"/>
        <v>160727.0805604815</v>
      </c>
      <c r="J13" s="23">
        <f t="shared" si="3"/>
        <v>171846.67273361061</v>
      </c>
      <c r="K13" s="23">
        <f t="shared" si="3"/>
        <v>181385.54810321069</v>
      </c>
      <c r="L13" s="23">
        <f t="shared" si="3"/>
        <v>188971.50711163841</v>
      </c>
      <c r="M13" s="23">
        <f t="shared" si="3"/>
        <v>194286.33074915322</v>
      </c>
      <c r="N13" s="23">
        <f>N10*(1-N11)</f>
        <v>204544.64901270845</v>
      </c>
    </row>
    <row r="14" spans="1:14" x14ac:dyDescent="0.35">
      <c r="A14" s="1"/>
      <c r="B14" s="7" t="s">
        <v>216</v>
      </c>
      <c r="C14" s="1"/>
      <c r="D14" s="41">
        <f>Inputs!$D$31</f>
        <v>0.5</v>
      </c>
      <c r="E14" s="41">
        <f>Inputs!$D$31</f>
        <v>0.5</v>
      </c>
      <c r="F14" s="41">
        <f>Inputs!$D$31</f>
        <v>0.5</v>
      </c>
      <c r="G14" s="41">
        <f>Inputs!$D$31</f>
        <v>0.5</v>
      </c>
      <c r="H14" s="41">
        <f>Inputs!$D$31</f>
        <v>0.5</v>
      </c>
      <c r="I14" s="41">
        <f>Inputs!$C$32</f>
        <v>1.5</v>
      </c>
      <c r="J14" s="41">
        <f>Inputs!$C$32</f>
        <v>1.5</v>
      </c>
      <c r="K14" s="41">
        <f>Inputs!$C$32</f>
        <v>1.5</v>
      </c>
      <c r="L14" s="41">
        <f>Inputs!$C$32</f>
        <v>1.5</v>
      </c>
      <c r="M14" s="41">
        <f>Inputs!$C$32</f>
        <v>1.5</v>
      </c>
      <c r="N14" s="1"/>
    </row>
    <row r="15" spans="1:14" x14ac:dyDescent="0.35">
      <c r="A15" s="1"/>
      <c r="B15" s="7" t="s">
        <v>217</v>
      </c>
      <c r="C15" s="1"/>
      <c r="D15" s="23">
        <f>CHOOSE(Inputs!$C$41+1,(D8-C8)/D14,(E8-D8)/D14,(F8-E8)/D14,(G8-F8)/D14)</f>
        <v>67378.514400000102</v>
      </c>
      <c r="E15" s="23">
        <f>CHOOSE(Inputs!$C$41+1,(E8-D8)/E14,(F8-E8)/E14,(G8-F8)/E14,(H8-G8)/E14)</f>
        <v>75463.93612800003</v>
      </c>
      <c r="F15" s="23">
        <f>CHOOSE(Inputs!$C$41+1,(F8-E8)/F14,(G8-F8)/F14,(H8-G8)/F14,(I8-H8)/F14)</f>
        <v>84519.608463360113</v>
      </c>
      <c r="G15" s="23">
        <f>CHOOSE(Inputs!$C$41+1,(G8-F8)/G14,(H8-G8)/G14,(I8-H8)/G14,(J8-I8)/G14)</f>
        <v>94661.961478963261</v>
      </c>
      <c r="H15" s="23">
        <f>CHOOSE(Inputs!$C$41+1,(H8-G8)/H14,(I8-H8)/H14,(J8-I8)/H14,(K8-J8)/H14)</f>
        <v>94147.000408517662</v>
      </c>
      <c r="I15" s="23">
        <f>CHOOSE(Inputs!$C$41+1,(I8-H8)/I14,(J8-I8)/I14,(K8-J8)/I14,(L8-K8)/I14)</f>
        <v>30346.524212879245</v>
      </c>
      <c r="J15" s="23">
        <f>CHOOSE(Inputs!$C$41+1,(J8-I8)/J14,(K8-J8)/J14,(L8-K8)/J14,(M8-L8)/J14)</f>
        <v>28384.624551024212</v>
      </c>
      <c r="K15" s="23">
        <f>CHOOSE(Inputs!$C$41+1,(K8-J8)/K14,(L8-K8)/K14,(M8-L8)/K14,(N8-M8)/K14)</f>
        <v>25477.054084725834</v>
      </c>
      <c r="L15" s="23">
        <f>CHOOSE(Inputs!$C$41+1,(L8-K8)/L14,(M8-L8)/L14,(N8-M8)/L14,$N$8*$N$7/L14)</f>
        <v>21652.985189875199</v>
      </c>
      <c r="M15" s="23">
        <f>CHOOSE(Inputs!$C$41+1,(M8-L8)/M14,(N8-M8)/M14,$N$8*$N$7/M14,L15*(1+$C$31))</f>
        <v>22796.262807900628</v>
      </c>
      <c r="N15" s="23">
        <f>IF($C$31&gt;0,$C$31/$C$32*N13,0)</f>
        <v>71999.716452473382</v>
      </c>
    </row>
    <row r="16" spans="1:14" x14ac:dyDescent="0.35">
      <c r="A16" s="1"/>
      <c r="B16" s="6" t="s">
        <v>218</v>
      </c>
      <c r="C16" s="1"/>
      <c r="D16" s="53">
        <f t="shared" ref="D16:N16" si="4">D13-D15</f>
        <v>41100.893783999898</v>
      </c>
      <c r="E16" s="53">
        <f t="shared" si="4"/>
        <v>39694.030403328012</v>
      </c>
      <c r="F16" s="53">
        <f t="shared" si="4"/>
        <v>40907.490496266168</v>
      </c>
      <c r="G16" s="53">
        <f t="shared" si="4"/>
        <v>41840.58697370172</v>
      </c>
      <c r="H16" s="53">
        <f t="shared" si="4"/>
        <v>54282.955190496694</v>
      </c>
      <c r="I16" s="53">
        <f t="shared" si="4"/>
        <v>130380.55634760225</v>
      </c>
      <c r="J16" s="53">
        <f t="shared" si="4"/>
        <v>143462.04818258641</v>
      </c>
      <c r="K16" s="53">
        <f t="shared" si="4"/>
        <v>155908.49401848487</v>
      </c>
      <c r="L16" s="53">
        <f t="shared" si="4"/>
        <v>167318.5219217632</v>
      </c>
      <c r="M16" s="53">
        <f t="shared" si="4"/>
        <v>171490.06794125258</v>
      </c>
      <c r="N16" s="52">
        <f t="shared" si="4"/>
        <v>132544.93256023509</v>
      </c>
    </row>
    <row r="17" spans="1:1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1"/>
      <c r="B18" s="7" t="s">
        <v>154</v>
      </c>
      <c r="C18" s="1"/>
      <c r="D18" s="47">
        <f>$C$27</f>
        <v>8.5061237361683029E-2</v>
      </c>
      <c r="E18" s="47">
        <f>$C$27</f>
        <v>8.5061237361683029E-2</v>
      </c>
      <c r="F18" s="47">
        <f>$C$27</f>
        <v>8.5061237361683029E-2</v>
      </c>
      <c r="G18" s="47">
        <f>$C$27</f>
        <v>8.5061237361683029E-2</v>
      </c>
      <c r="H18" s="47">
        <f>$C$27</f>
        <v>8.5061237361683029E-2</v>
      </c>
      <c r="I18" s="47">
        <f>H18-($H$18-$C$30)/5</f>
        <v>8.7008989889346425E-2</v>
      </c>
      <c r="J18" s="47">
        <f>I18-($H$18-$C$30)/5</f>
        <v>8.8956742417009821E-2</v>
      </c>
      <c r="K18" s="47">
        <f>J18-($H$18-$C$30)/5</f>
        <v>9.0904494944673217E-2</v>
      </c>
      <c r="L18" s="47">
        <f>K18-($H$18-$C$30)/5</f>
        <v>9.2852247472336613E-2</v>
      </c>
      <c r="M18" s="47">
        <f>L18-($H$18-$C$30)/5</f>
        <v>9.4800000000000009E-2</v>
      </c>
      <c r="N18" s="47">
        <f>$C$30</f>
        <v>9.4799999999999995E-2</v>
      </c>
    </row>
    <row r="19" spans="1:14" x14ac:dyDescent="0.35">
      <c r="A19" s="1"/>
      <c r="B19" s="7" t="s">
        <v>219</v>
      </c>
      <c r="C19" s="1"/>
      <c r="D19" s="54">
        <f>1/(1+D18)</f>
        <v>0.92160697071023501</v>
      </c>
      <c r="E19" s="54">
        <f t="shared" ref="E19:M19" si="5">D19/(1+E18)</f>
        <v>0.849359408461696</v>
      </c>
      <c r="F19" s="54">
        <f t="shared" si="5"/>
        <v>0.78277555147662081</v>
      </c>
      <c r="G19" s="54">
        <f t="shared" si="5"/>
        <v>0.72141140474240217</v>
      </c>
      <c r="H19" s="54">
        <f t="shared" si="5"/>
        <v>0.66485777936046053</v>
      </c>
      <c r="I19" s="54">
        <f t="shared" si="5"/>
        <v>0.61163963273950528</v>
      </c>
      <c r="J19" s="54">
        <f t="shared" si="5"/>
        <v>0.56167486633301111</v>
      </c>
      <c r="K19" s="54">
        <f t="shared" si="5"/>
        <v>0.51487079660579937</v>
      </c>
      <c r="L19" s="54">
        <f t="shared" si="5"/>
        <v>0.4711257151153293</v>
      </c>
      <c r="M19" s="54">
        <f t="shared" si="5"/>
        <v>0.43033039378455362</v>
      </c>
      <c r="N19" s="1"/>
    </row>
    <row r="20" spans="1:14" x14ac:dyDescent="0.35">
      <c r="A20" s="1"/>
      <c r="B20" s="7" t="s">
        <v>220</v>
      </c>
      <c r="C20" s="1"/>
      <c r="D20" s="23">
        <f t="shared" ref="D20:M20" si="6">D16*D19</f>
        <v>37878.870213755275</v>
      </c>
      <c r="E20" s="23">
        <f t="shared" si="6"/>
        <v>33714.498182831259</v>
      </c>
      <c r="F20" s="23">
        <f t="shared" si="6"/>
        <v>32021.383432739374</v>
      </c>
      <c r="G20" s="23">
        <f t="shared" si="6"/>
        <v>30184.27662394481</v>
      </c>
      <c r="H20" s="23">
        <f t="shared" si="6"/>
        <v>36090.445045077016</v>
      </c>
      <c r="I20" s="23">
        <f t="shared" si="6"/>
        <v>79745.915600819819</v>
      </c>
      <c r="J20" s="23">
        <f t="shared" si="6"/>
        <v>80579.026736814223</v>
      </c>
      <c r="K20" s="23">
        <f t="shared" si="6"/>
        <v>80272.730512907816</v>
      </c>
      <c r="L20" s="23">
        <f t="shared" si="6"/>
        <v>78828.058292430593</v>
      </c>
      <c r="M20" s="23">
        <f t="shared" si="6"/>
        <v>73797.388467299083</v>
      </c>
      <c r="N20" s="1"/>
    </row>
    <row r="21" spans="1:1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5">
      <c r="A22" s="1"/>
      <c r="B22" s="7" t="s">
        <v>221</v>
      </c>
      <c r="C22" s="23">
        <f>Inputs!$C$15+Inputs!$C$16-Inputs!$C$17+C55</f>
        <v>407785.33333333331</v>
      </c>
      <c r="D22" s="23">
        <f t="shared" ref="D22:M22" si="7">C22+D15</f>
        <v>475163.84773333342</v>
      </c>
      <c r="E22" s="23">
        <f t="shared" si="7"/>
        <v>550627.7838613335</v>
      </c>
      <c r="F22" s="23">
        <f t="shared" si="7"/>
        <v>635147.39232469362</v>
      </c>
      <c r="G22" s="23">
        <f t="shared" si="7"/>
        <v>729809.35380365688</v>
      </c>
      <c r="H22" s="23">
        <f t="shared" si="7"/>
        <v>823956.35421217454</v>
      </c>
      <c r="I22" s="23">
        <f t="shared" si="7"/>
        <v>854302.87842505379</v>
      </c>
      <c r="J22" s="23">
        <f t="shared" si="7"/>
        <v>882687.50297607796</v>
      </c>
      <c r="K22" s="23">
        <f t="shared" si="7"/>
        <v>908164.55706080375</v>
      </c>
      <c r="L22" s="23">
        <f t="shared" si="7"/>
        <v>929817.54225067899</v>
      </c>
      <c r="M22" s="23">
        <f t="shared" si="7"/>
        <v>952613.80505857966</v>
      </c>
      <c r="N22" s="1"/>
    </row>
    <row r="23" spans="1:14" x14ac:dyDescent="0.35">
      <c r="A23" s="1"/>
      <c r="B23" s="7" t="s">
        <v>222</v>
      </c>
      <c r="C23" s="31">
        <f>C13/C22</f>
        <v>0.23067666321168981</v>
      </c>
      <c r="D23" s="31">
        <f t="shared" ref="D23:M23" si="8">D13/C22</f>
        <v>0.26602086763950966</v>
      </c>
      <c r="E23" s="31">
        <f t="shared" si="8"/>
        <v>0.24235422598049972</v>
      </c>
      <c r="F23" s="31">
        <f t="shared" si="8"/>
        <v>0.22778926642614356</v>
      </c>
      <c r="G23" s="31">
        <f t="shared" si="8"/>
        <v>0.21491475853038461</v>
      </c>
      <c r="H23" s="31">
        <f t="shared" si="8"/>
        <v>0.2033818213282958</v>
      </c>
      <c r="I23" s="31">
        <f t="shared" si="8"/>
        <v>0.19506746897311159</v>
      </c>
      <c r="J23" s="31">
        <f t="shared" si="8"/>
        <v>0.20115427101266212</v>
      </c>
      <c r="K23" s="31">
        <f t="shared" si="8"/>
        <v>0.20549237129975148</v>
      </c>
      <c r="L23" s="31">
        <f t="shared" si="8"/>
        <v>0.20808068938874733</v>
      </c>
      <c r="M23" s="31">
        <f t="shared" si="8"/>
        <v>0.2089510274014314</v>
      </c>
      <c r="N23" s="31">
        <f>$C$32</f>
        <v>0.15</v>
      </c>
    </row>
    <row r="24" spans="1:1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1"/>
      <c r="B25" s="18" t="s">
        <v>223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5">
      <c r="A26" s="1"/>
      <c r="B26" s="7" t="s">
        <v>224</v>
      </c>
      <c r="C26" s="28">
        <f>WACC!$C$13</f>
        <v>8.5061237361683029E-2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1"/>
      <c r="B27" s="7" t="s">
        <v>225</v>
      </c>
      <c r="C27" s="47">
        <f>C26+Sensitivity!$C$5</f>
        <v>8.5061237361683029E-2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1"/>
      <c r="B28" s="7" t="s">
        <v>226</v>
      </c>
      <c r="C28" s="28">
        <f>WACC!$C$5</f>
        <v>5.28E-2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5">
      <c r="A29" s="1"/>
      <c r="B29" s="7" t="s">
        <v>227</v>
      </c>
      <c r="C29" s="28">
        <f>Inputs!$C$39</f>
        <v>4.2000000000000003E-2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5">
      <c r="A30" s="1"/>
      <c r="B30" s="7" t="s">
        <v>228</v>
      </c>
      <c r="C30" s="47">
        <f>C28+C29+Sensitivity!$C$6</f>
        <v>9.4799999999999995E-2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/>
      <c r="B31" s="7" t="s">
        <v>229</v>
      </c>
      <c r="C31" s="47">
        <f>C28</f>
        <v>5.28E-2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/>
      <c r="B32" s="7" t="s">
        <v>230</v>
      </c>
      <c r="C32" s="25">
        <f>Inputs!$D$40</f>
        <v>0.15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1"/>
      <c r="B33" s="7" t="s">
        <v>231</v>
      </c>
      <c r="C33" s="23">
        <f>N16/(C30-C31)</f>
        <v>3155831.7276246455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/>
      <c r="B34" s="7" t="s">
        <v>232</v>
      </c>
      <c r="C34" s="23">
        <f>C33*M19</f>
        <v>1358050.3100665018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1"/>
      <c r="B35" s="7" t="s">
        <v>233</v>
      </c>
      <c r="C35" s="23">
        <f>SUM(D20:M20)</f>
        <v>563112.59310861921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/>
      <c r="B36" s="7" t="s">
        <v>234</v>
      </c>
      <c r="C36" s="23">
        <f>C34+C35</f>
        <v>1921162.9031751212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/>
      <c r="B37" s="7" t="s">
        <v>136</v>
      </c>
      <c r="C37" s="25">
        <f>Inputs!$D$42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/>
      <c r="B38" s="7" t="s">
        <v>235</v>
      </c>
      <c r="C38" s="23">
        <f>IF(EXACT(Inputs!$C$43,"B"),Inputs!$C$15+Inputs!$C$16,C36)*Inputs!$D$44</f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/>
      <c r="B39" s="6" t="s">
        <v>38</v>
      </c>
      <c r="C39" s="53">
        <f>C36*(1-C37)+C38*C37</f>
        <v>1921162.9031751212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/>
      <c r="B40" s="7" t="s">
        <v>44</v>
      </c>
      <c r="C40" s="20">
        <f>Inputs!$C$16</f>
        <v>112318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/>
      <c r="B41" s="7" t="s">
        <v>47</v>
      </c>
      <c r="C41" s="20">
        <f>Inputs!$C$19</f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1"/>
      <c r="B42" s="7" t="s">
        <v>49</v>
      </c>
      <c r="C42" s="20">
        <f>Inputs!$C$17</f>
        <v>90260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1"/>
      <c r="B43" s="7" t="s">
        <v>236</v>
      </c>
      <c r="C43" s="34"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5">
      <c r="A44" s="1"/>
      <c r="B44" s="7" t="s">
        <v>55</v>
      </c>
      <c r="C44" s="20">
        <f>Inputs!$C$18</f>
        <v>30157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1"/>
      <c r="B45" s="7" t="s">
        <v>58</v>
      </c>
      <c r="C45" s="20">
        <f>Inputs!$C$22</f>
        <v>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/>
      <c r="B46" s="6" t="s">
        <v>61</v>
      </c>
      <c r="C46" s="53">
        <f>C39-C40-C41+C42-C43+C44+C45</f>
        <v>1929261.9031751212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5">
      <c r="A47" s="1"/>
      <c r="B47" s="7" t="s">
        <v>237</v>
      </c>
      <c r="C47" s="34"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5">
      <c r="A48" s="1"/>
      <c r="B48" s="7" t="s">
        <v>238</v>
      </c>
      <c r="C48" s="20">
        <f>Inputs!$C$7</f>
        <v>2547.5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5">
      <c r="A49" s="1"/>
      <c r="B49" s="6" t="s">
        <v>239</v>
      </c>
      <c r="C49" s="19">
        <f>(C46-C47)/C48</f>
        <v>757.31576179592582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5">
      <c r="A50" s="1"/>
      <c r="B50" s="7" t="s">
        <v>43</v>
      </c>
      <c r="C50" s="24">
        <f>Inputs!$C$6</f>
        <v>728.08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5">
      <c r="A51" s="1"/>
      <c r="B51" s="7" t="s">
        <v>6</v>
      </c>
      <c r="C51" s="31">
        <f>C50/C49</f>
        <v>0.96139554559567719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5">
      <c r="A52" s="1"/>
      <c r="B52" s="7" t="s">
        <v>46</v>
      </c>
      <c r="C52" s="31">
        <f>C49/C50-1</f>
        <v>4.0154600862440715E-2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5">
      <c r="A54" s="1"/>
      <c r="B54" s="18" t="s">
        <v>142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5">
      <c r="A55" s="1"/>
      <c r="B55" s="7" t="s">
        <v>240</v>
      </c>
      <c r="C55" s="23">
        <f>Inputs!$C$47+Inputs!$C$49*MAX(0,Inputs!$C$48-1)/Inputs!$C$48+Inputs!$C$50*MAX(0,Inputs!$C$48-2)/Inputs!$C$48+Inputs!$C$51*MAX(0,Inputs!$C$48-3)/Inputs!$C$48</f>
        <v>124506.33333333333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5">
      <c r="A56" s="1"/>
      <c r="B56" s="7" t="s">
        <v>241</v>
      </c>
      <c r="C56" s="23">
        <f>(Inputs!$C$49*(1&lt;=Inputs!$C$48)+Inputs!$C$50*(2&lt;=Inputs!$C$48)+Inputs!$C$51*(3&lt;=Inputs!$C$48))/Inputs!$C$48</f>
        <v>46576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5">
      <c r="A57" s="1"/>
      <c r="B57" s="7" t="s">
        <v>242</v>
      </c>
      <c r="C57" s="23">
        <f>Inputs!$C$47-C56</f>
        <v>25058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</sheetData>
  <printOptions horizontalCentered="1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7"/>
  <sheetViews>
    <sheetView showGridLines="0" zoomScale="85" workbookViewId="0"/>
  </sheetViews>
  <sheetFormatPr defaultRowHeight="14.5" x14ac:dyDescent="0.35"/>
  <cols>
    <col min="1" max="1" width="2" customWidth="1"/>
    <col min="2" max="2" width="30" customWidth="1"/>
    <col min="3" max="7" width="13" customWidth="1"/>
    <col min="8" max="8" width="7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ht="20" x14ac:dyDescent="0.4">
      <c r="A2" s="1"/>
      <c r="B2" s="16" t="s">
        <v>21</v>
      </c>
      <c r="C2" s="1"/>
      <c r="D2" s="1"/>
      <c r="E2" s="1"/>
      <c r="F2" s="1"/>
      <c r="G2" s="1"/>
      <c r="H2" s="1"/>
    </row>
    <row r="3" spans="1:8" x14ac:dyDescent="0.35">
      <c r="A3" s="1"/>
      <c r="B3" s="17" t="s">
        <v>243</v>
      </c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/>
      <c r="B5" s="18" t="s">
        <v>244</v>
      </c>
      <c r="C5" s="2"/>
      <c r="D5" s="2"/>
      <c r="E5" s="2"/>
      <c r="F5" s="2"/>
      <c r="G5" s="2"/>
      <c r="H5" s="2"/>
    </row>
    <row r="6" spans="1:8" ht="30" customHeight="1" x14ac:dyDescent="0.35">
      <c r="A6" s="1"/>
      <c r="B6" s="1"/>
      <c r="C6" s="21" t="s">
        <v>245</v>
      </c>
      <c r="D6" s="21" t="s">
        <v>246</v>
      </c>
      <c r="E6" s="21" t="s">
        <v>247</v>
      </c>
      <c r="F6" s="21" t="s">
        <v>248</v>
      </c>
      <c r="G6" s="1"/>
      <c r="H6" s="60" t="s">
        <v>249</v>
      </c>
    </row>
    <row r="7" spans="1:8" x14ac:dyDescent="0.35">
      <c r="A7" s="1"/>
      <c r="B7" s="1"/>
      <c r="C7" s="25">
        <f>Inputs!$C$54</f>
        <v>0.1767452173913043</v>
      </c>
      <c r="D7" s="31">
        <f>DCF!C8/Inputs!$C$20-1</f>
        <v>0.27652065949307625</v>
      </c>
      <c r="E7" s="25">
        <f>DCF!D7</f>
        <v>0.23</v>
      </c>
      <c r="F7" s="31">
        <f>(DCF!H8/DCF!D8)^(1/4)-1</f>
        <v>0.12000000000000011</v>
      </c>
      <c r="G7" s="1"/>
      <c r="H7" s="61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x14ac:dyDescent="0.35">
      <c r="A9" s="1"/>
      <c r="B9" s="18" t="s">
        <v>250</v>
      </c>
      <c r="C9" s="2"/>
      <c r="D9" s="2"/>
      <c r="E9" s="2"/>
      <c r="F9" s="2"/>
      <c r="G9" s="2"/>
      <c r="H9" s="2"/>
    </row>
    <row r="10" spans="1:8" ht="30" customHeight="1" x14ac:dyDescent="0.35">
      <c r="A10" s="1"/>
      <c r="B10" s="1"/>
      <c r="C10" s="21" t="s">
        <v>251</v>
      </c>
      <c r="D10" s="21" t="s">
        <v>198</v>
      </c>
      <c r="E10" s="21" t="s">
        <v>202</v>
      </c>
      <c r="F10" s="21" t="s">
        <v>207</v>
      </c>
      <c r="G10" s="1"/>
      <c r="H10" s="60" t="s">
        <v>252</v>
      </c>
    </row>
    <row r="11" spans="1:8" x14ac:dyDescent="0.35">
      <c r="A11" s="1"/>
      <c r="B11" s="1"/>
      <c r="C11" s="20">
        <f>DCF!C8</f>
        <v>228247</v>
      </c>
      <c r="D11" s="20">
        <f>DCF!D8</f>
        <v>280743.81</v>
      </c>
      <c r="E11" s="20">
        <f>DCF!H8</f>
        <v>441755.82023516175</v>
      </c>
      <c r="F11" s="20">
        <f>DCF!M8</f>
        <v>647621.10249717731</v>
      </c>
      <c r="G11" s="1"/>
      <c r="H11" s="61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1"/>
      <c r="B13" s="18" t="s">
        <v>253</v>
      </c>
      <c r="C13" s="2"/>
      <c r="D13" s="2"/>
      <c r="E13" s="2"/>
      <c r="F13" s="2"/>
      <c r="G13" s="2"/>
      <c r="H13" s="2"/>
    </row>
    <row r="14" spans="1:8" ht="30" customHeight="1" x14ac:dyDescent="0.35">
      <c r="A14" s="1"/>
      <c r="B14" s="1"/>
      <c r="C14" s="21" t="s">
        <v>254</v>
      </c>
      <c r="D14" s="21" t="s">
        <v>251</v>
      </c>
      <c r="E14" s="21" t="s">
        <v>202</v>
      </c>
      <c r="F14" s="21" t="s">
        <v>207</v>
      </c>
      <c r="G14" s="1"/>
      <c r="H14" s="60" t="s">
        <v>255</v>
      </c>
    </row>
    <row r="15" spans="1:8" x14ac:dyDescent="0.35">
      <c r="A15" s="1"/>
      <c r="B15" s="1"/>
      <c r="C15" s="25">
        <f>Inputs!$C$55</f>
        <v>0.1019039142882163</v>
      </c>
      <c r="D15" s="25">
        <f>DCF!C9</f>
        <v>0.49062638282211812</v>
      </c>
      <c r="E15" s="25">
        <f>DCF!H9</f>
        <v>0.4</v>
      </c>
      <c r="F15" s="25">
        <f>DCF!M9</f>
        <v>0.4</v>
      </c>
      <c r="G15" s="1"/>
      <c r="H15" s="61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8" t="s">
        <v>256</v>
      </c>
      <c r="C17" s="2"/>
      <c r="D17" s="2"/>
      <c r="E17" s="2"/>
      <c r="F17" s="2"/>
      <c r="G17" s="2"/>
      <c r="H17" s="2"/>
    </row>
    <row r="18" spans="1:8" ht="30" customHeight="1" x14ac:dyDescent="0.35">
      <c r="A18" s="1"/>
      <c r="B18" s="1"/>
      <c r="C18" s="21" t="s">
        <v>257</v>
      </c>
      <c r="D18" s="21" t="s">
        <v>258</v>
      </c>
      <c r="E18" s="21" t="s">
        <v>259</v>
      </c>
      <c r="F18" s="21" t="s">
        <v>260</v>
      </c>
      <c r="G18" s="1"/>
      <c r="H18" s="60" t="s">
        <v>261</v>
      </c>
    </row>
    <row r="19" spans="1:8" x14ac:dyDescent="0.35">
      <c r="A19" s="1"/>
      <c r="B19" s="1"/>
      <c r="C19" s="41">
        <f>Inputs!$C$56</f>
        <v>3.853284109074878</v>
      </c>
      <c r="D19" s="37">
        <f>DCF!C8/DCF!C22</f>
        <v>0.55972341656884839</v>
      </c>
      <c r="E19" s="25">
        <f>DCF!M23</f>
        <v>0.2089510274014314</v>
      </c>
      <c r="F19" s="25">
        <f>DCF!N23</f>
        <v>0.15</v>
      </c>
      <c r="G19" s="1"/>
      <c r="H19" s="6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8" t="s">
        <v>262</v>
      </c>
      <c r="C21" s="2"/>
      <c r="D21" s="2"/>
      <c r="E21" s="2"/>
      <c r="F21" s="2"/>
      <c r="G21" s="2"/>
      <c r="H21" s="2"/>
    </row>
    <row r="22" spans="1:8" ht="30" customHeight="1" x14ac:dyDescent="0.35">
      <c r="A22" s="1"/>
      <c r="B22" s="1"/>
      <c r="C22" s="21" t="s">
        <v>254</v>
      </c>
      <c r="D22" s="21" t="s">
        <v>263</v>
      </c>
      <c r="E22" s="21" t="s">
        <v>264</v>
      </c>
      <c r="F22" s="21" t="s">
        <v>265</v>
      </c>
      <c r="G22" s="1"/>
      <c r="H22" s="60" t="s">
        <v>266</v>
      </c>
    </row>
    <row r="23" spans="1:8" x14ac:dyDescent="0.35">
      <c r="A23" s="1"/>
      <c r="B23" s="1"/>
      <c r="C23" s="25">
        <f>Inputs!$C$57</f>
        <v>7.8061237361683022E-2</v>
      </c>
      <c r="D23" s="25">
        <f>DCF!D18</f>
        <v>8.5061237361683029E-2</v>
      </c>
      <c r="E23" s="31">
        <f>(1/DCF!M19)^(1/10)-1</f>
        <v>8.7977209179638027E-2</v>
      </c>
      <c r="F23" s="25">
        <f>DCF!N18</f>
        <v>9.4799999999999995E-2</v>
      </c>
      <c r="G23" s="1"/>
      <c r="H23" s="61"/>
    </row>
    <row r="24" spans="1:8" x14ac:dyDescent="0.35">
      <c r="A24" s="1"/>
      <c r="B24" s="1"/>
      <c r="C24" s="1"/>
      <c r="D24" s="1"/>
      <c r="E24" s="1"/>
      <c r="F24" s="1"/>
      <c r="G24" s="1"/>
      <c r="H24" s="1"/>
    </row>
    <row r="25" spans="1:8" x14ac:dyDescent="0.35">
      <c r="A25" s="1"/>
      <c r="B25" s="18" t="s">
        <v>267</v>
      </c>
      <c r="C25" s="2"/>
      <c r="D25" s="2"/>
      <c r="E25" s="2"/>
      <c r="F25" s="2"/>
      <c r="G25" s="2"/>
      <c r="H25" s="2"/>
    </row>
    <row r="26" spans="1:8" ht="30" customHeight="1" x14ac:dyDescent="0.35">
      <c r="A26" s="1"/>
      <c r="B26" s="1"/>
      <c r="C26" s="21" t="s">
        <v>268</v>
      </c>
      <c r="D26" s="21" t="s">
        <v>269</v>
      </c>
      <c r="E26" s="1"/>
      <c r="F26" s="1"/>
      <c r="G26" s="1"/>
      <c r="H26" s="60" t="s">
        <v>270</v>
      </c>
    </row>
    <row r="27" spans="1:8" x14ac:dyDescent="0.35">
      <c r="A27" s="1"/>
      <c r="B27" s="1"/>
      <c r="C27" s="31">
        <f>DCF!C49/DCF!C50</f>
        <v>1.0401546008624407</v>
      </c>
      <c r="D27" s="7" t="str">
        <f>IF(DCF!C49/DCF!C50&lt;0.5,"Value low: revisit",IF(DCF!C49/DCF!C50&gt;2,"Value high: revisit","Within 0.5x-2x"))</f>
        <v>Within 0.5x-2x</v>
      </c>
      <c r="E27" s="1"/>
      <c r="F27" s="1"/>
      <c r="G27" s="1"/>
      <c r="H27" s="61"/>
    </row>
  </sheetData>
  <mergeCells count="6">
    <mergeCell ref="H14:H15"/>
    <mergeCell ref="H26:H27"/>
    <mergeCell ref="H22:H23"/>
    <mergeCell ref="H6:H7"/>
    <mergeCell ref="H10:H11"/>
    <mergeCell ref="H18:H19"/>
  </mergeCells>
  <printOptions horizontalCentered="1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9"/>
  <sheetViews>
    <sheetView showGridLines="0" zoomScale="85" workbookViewId="0"/>
  </sheetViews>
  <sheetFormatPr defaultRowHeight="14.5" x14ac:dyDescent="0.35"/>
  <cols>
    <col min="1" max="1" width="2" customWidth="1"/>
    <col min="2" max="2" width="6" customWidth="1"/>
    <col min="3" max="3" width="62" customWidth="1"/>
    <col min="4" max="5" width="16" customWidth="1"/>
    <col min="6" max="6" width="12" customWidth="1"/>
    <col min="7" max="7" width="60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ht="20" x14ac:dyDescent="0.4">
      <c r="A2" s="1"/>
      <c r="B2" s="16" t="s">
        <v>271</v>
      </c>
      <c r="C2" s="1"/>
      <c r="D2" s="1"/>
      <c r="E2" s="1"/>
      <c r="F2" s="1"/>
      <c r="G2" s="1"/>
    </row>
    <row r="3" spans="1:7" x14ac:dyDescent="0.35">
      <c r="A3" s="1"/>
      <c r="B3" s="17" t="s">
        <v>272</v>
      </c>
      <c r="C3" s="1"/>
      <c r="D3" s="1"/>
      <c r="E3" s="1"/>
      <c r="F3" s="1"/>
      <c r="G3" s="1"/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1"/>
      <c r="B5" s="21" t="s">
        <v>159</v>
      </c>
      <c r="C5" s="21" t="s">
        <v>273</v>
      </c>
      <c r="D5" s="21" t="s">
        <v>274</v>
      </c>
      <c r="E5" s="21" t="s">
        <v>275</v>
      </c>
      <c r="F5" s="21" t="s">
        <v>276</v>
      </c>
      <c r="G5" s="21" t="s">
        <v>277</v>
      </c>
    </row>
    <row r="6" spans="1:7" x14ac:dyDescent="0.35">
      <c r="A6" s="1"/>
      <c r="B6" s="40">
        <v>1</v>
      </c>
      <c r="C6" s="7" t="s">
        <v>278</v>
      </c>
      <c r="D6" s="23" t="str">
        <f>IF(AND(Sensitivity!$C$5=0,Sensitivity!$C$6=0,Sensitivity!$C$7=0,Sensitivity!$C$8=0,Sensitivity!$C$9=0,Scenarios!$D$5=1),"Base","Flexed")</f>
        <v>Base</v>
      </c>
      <c r="E6" s="23" t="str">
        <f>"Base"</f>
        <v>Base</v>
      </c>
      <c r="F6" s="7" t="b">
        <f>D6=E6</f>
        <v>1</v>
      </c>
      <c r="G6" s="15" t="s">
        <v>279</v>
      </c>
    </row>
    <row r="7" spans="1:7" x14ac:dyDescent="0.35">
      <c r="A7" s="1"/>
      <c r="B7" s="40">
        <v>2</v>
      </c>
      <c r="C7" s="7" t="s">
        <v>280</v>
      </c>
      <c r="D7" s="22">
        <f>ValuePerShare</f>
        <v>757.31576179592582</v>
      </c>
      <c r="E7" s="32">
        <v>757.31576179592582</v>
      </c>
      <c r="F7" s="7" t="b">
        <f>IF(AND(Sensitivity!$C$5=0,Sensitivity!$C$6=0,Sensitivity!$C$7=0,Sensitivity!$C$8=0,Sensitivity!$C$9=0,Scenarios!$D$5=1),ABS(D7-E7)&lt;0.005,TRUE)</f>
        <v>1</v>
      </c>
      <c r="G7" s="15" t="s">
        <v>281</v>
      </c>
    </row>
    <row r="8" spans="1:7" x14ac:dyDescent="0.35">
      <c r="A8" s="1"/>
      <c r="B8" s="40">
        <v>3</v>
      </c>
      <c r="C8" s="7" t="s">
        <v>282</v>
      </c>
      <c r="D8" s="47">
        <f>WACC_Initial</f>
        <v>8.5061237361683029E-2</v>
      </c>
      <c r="E8" s="38">
        <v>8.5061237361683029E-2</v>
      </c>
      <c r="F8" s="7" t="b">
        <f>IF(AND(Sensitivity!$C$5=0,Sensitivity!$C$6=0,Sensitivity!$C$7=0,Sensitivity!$C$8=0,Sensitivity!$C$9=0,Scenarios!$D$5=1),ABS(D8-E8)&lt;0.000001,TRUE)</f>
        <v>1</v>
      </c>
      <c r="G8" s="15" t="s">
        <v>283</v>
      </c>
    </row>
    <row r="9" spans="1:7" x14ac:dyDescent="0.35">
      <c r="A9" s="1"/>
      <c r="B9" s="40">
        <v>4</v>
      </c>
      <c r="C9" s="7" t="s">
        <v>284</v>
      </c>
      <c r="D9" s="22">
        <f>MAX(ABS(Scenarios!K9-841.905092526385),ABS(Scenarios!K10-672.726431065466),ABS(Scenarios!K11-661.030775655843),ABS(Scenarios!K12-842.29276888124),ABS(Scenarios!K13-654.982885913935),ABS(Scenarios!K14-859.648637677916),ABS(Scenarios!K15-588.699264120359),ABS(Scenarios!K16-674.728610976075),ABS(Scenarios!K17-719.608933470604))</f>
        <v>7.9580786405131221E-13</v>
      </c>
      <c r="E9" s="32">
        <v>0</v>
      </c>
      <c r="F9" s="7" t="b">
        <f>IF(AND(Sensitivity!$C$5=0,Sensitivity!$C$6=0,Sensitivity!$C$7=0,Sensitivity!$C$8=0,Sensitivity!$C$9=0,Scenarios!$D$5=1),D9&lt;0.01,TRUE)</f>
        <v>1</v>
      </c>
      <c r="G9" s="15" t="s">
        <v>285</v>
      </c>
    </row>
    <row r="10" spans="1:7" x14ac:dyDescent="0.35">
      <c r="A10" s="1"/>
      <c r="B10" s="40">
        <v>5</v>
      </c>
      <c r="C10" s="7" t="s">
        <v>286</v>
      </c>
      <c r="D10" s="24">
        <f>Sensitivity!E18</f>
        <v>757.31576179592582</v>
      </c>
      <c r="E10" s="22">
        <f>ValuePerShare</f>
        <v>757.31576179592582</v>
      </c>
      <c r="F10" s="7" t="b">
        <f>IF(AND(Sensitivity!$C$5=0,Sensitivity!$C$6=0,Sensitivity!$C$7=0,Sensitivity!$C$8=0,Sensitivity!$C$9=0,Scenarios!$D$5=1),ABS(D10-E10)&lt;0.005,TRUE)</f>
        <v>1</v>
      </c>
      <c r="G10" s="15" t="s">
        <v>287</v>
      </c>
    </row>
    <row r="11" spans="1:7" x14ac:dyDescent="0.35">
      <c r="A11" s="1"/>
      <c r="B11" s="40">
        <v>6</v>
      </c>
      <c r="C11" s="7" t="s">
        <v>288</v>
      </c>
      <c r="D11" s="24">
        <f>Sensitivity!E31</f>
        <v>757.31576179592582</v>
      </c>
      <c r="E11" s="22">
        <f>ValuePerShare</f>
        <v>757.31576179592582</v>
      </c>
      <c r="F11" s="7" t="b">
        <f>IF(AND(Sensitivity!$C$5=0,Sensitivity!$C$6=0,Sensitivity!$C$7=0,Sensitivity!$C$8=0,Sensitivity!$C$9=0,Scenarios!$D$5=1),ABS(D11-E11)&lt;0.005,TRUE)</f>
        <v>1</v>
      </c>
      <c r="G11" s="15"/>
    </row>
    <row r="12" spans="1:7" x14ac:dyDescent="0.35">
      <c r="A12" s="1"/>
      <c r="B12" s="40">
        <v>7</v>
      </c>
      <c r="C12" s="7" t="s">
        <v>289</v>
      </c>
      <c r="D12" s="20">
        <f>DCF!C46</f>
        <v>1929261.9031751212</v>
      </c>
      <c r="E12" s="23">
        <f>DCF!C39-DCF!C40-DCF!C41+DCF!C42-DCF!C43+DCF!C44+DCF!C45</f>
        <v>1929261.9031751212</v>
      </c>
      <c r="F12" s="7" t="b">
        <f>ABS(D12-E12)&lt;0.001</f>
        <v>1</v>
      </c>
      <c r="G12" s="15"/>
    </row>
    <row r="13" spans="1:7" x14ac:dyDescent="0.35">
      <c r="A13" s="1"/>
      <c r="B13" s="1"/>
      <c r="C13" s="1"/>
      <c r="D13" s="1"/>
      <c r="E13" s="1"/>
      <c r="F13" s="1"/>
      <c r="G13" s="1"/>
    </row>
    <row r="14" spans="1:7" x14ac:dyDescent="0.35">
      <c r="A14" s="1"/>
      <c r="B14" s="1"/>
      <c r="C14" s="6" t="s">
        <v>290</v>
      </c>
      <c r="D14" s="1"/>
      <c r="E14" s="1"/>
      <c r="F14" s="56" t="b">
        <f>COUNTIF(F6:F12,FALSE)=0</f>
        <v>1</v>
      </c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8" t="s">
        <v>291</v>
      </c>
      <c r="C16" s="2"/>
      <c r="D16" s="2"/>
      <c r="E16" s="2"/>
      <c r="F16" s="2"/>
      <c r="G16" s="2"/>
    </row>
    <row r="17" spans="1:7" x14ac:dyDescent="0.35">
      <c r="A17" s="1"/>
      <c r="B17" s="1"/>
      <c r="C17" s="7" t="s">
        <v>292</v>
      </c>
      <c r="D17" s="28">
        <f>DCF!C31</f>
        <v>5.28E-2</v>
      </c>
      <c r="E17" s="28">
        <f>DCF!C28</f>
        <v>5.28E-2</v>
      </c>
      <c r="F17" s="7" t="str">
        <f>IF(D17&lt;=E17+0.0000001,"OK","WARNING")</f>
        <v>OK</v>
      </c>
      <c r="G17" s="1"/>
    </row>
    <row r="18" spans="1:7" x14ac:dyDescent="0.35">
      <c r="A18" s="1"/>
      <c r="B18" s="1"/>
      <c r="C18" s="7" t="s">
        <v>293</v>
      </c>
      <c r="D18" s="28">
        <f>DCF!C32</f>
        <v>0.15</v>
      </c>
      <c r="E18" s="28">
        <f>DCF!C30</f>
        <v>9.4799999999999995E-2</v>
      </c>
      <c r="F18" s="7" t="str">
        <f>IF(D18&gt;=E18-0.0000001,"OK","WARNING")</f>
        <v>OK</v>
      </c>
      <c r="G18" s="1"/>
    </row>
    <row r="19" spans="1:7" x14ac:dyDescent="0.35">
      <c r="A19" s="1"/>
      <c r="B19" s="1"/>
      <c r="C19" s="7" t="s">
        <v>294</v>
      </c>
      <c r="D19" s="47">
        <f>DCF!C49/DCF!C50</f>
        <v>1.0401546008624407</v>
      </c>
      <c r="E19" s="12" t="s">
        <v>295</v>
      </c>
      <c r="F19" s="7" t="str">
        <f>IF(AND(D19&gt;=0.5,D19&lt;=2),"OK","WARNING")</f>
        <v>OK</v>
      </c>
      <c r="G19" s="1"/>
    </row>
  </sheetData>
  <conditionalFormatting sqref="F6:F12">
    <cfRule type="cellIs" dxfId="1" priority="1" operator="equal">
      <formula>TRUE</formula>
    </cfRule>
    <cfRule type="cellIs" dxfId="0" priority="2" operator="equal">
      <formula>FALSE</formula>
    </cfRule>
  </conditionalFormatting>
  <printOptions horizontalCentered="1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36"/>
  <sheetViews>
    <sheetView showGridLines="0" zoomScale="85" workbookViewId="0"/>
  </sheetViews>
  <sheetFormatPr defaultRowHeight="14.5" x14ac:dyDescent="0.35"/>
  <cols>
    <col min="1" max="1" width="2" customWidth="1"/>
    <col min="2" max="2" width="4" customWidth="1"/>
    <col min="3" max="3" width="34" customWidth="1"/>
    <col min="4" max="4" width="110" customWidth="1"/>
  </cols>
  <sheetData>
    <row r="1" spans="1:4" x14ac:dyDescent="0.35">
      <c r="A1" s="1"/>
      <c r="B1" s="1"/>
      <c r="C1" s="1"/>
      <c r="D1" s="1"/>
    </row>
    <row r="2" spans="1:4" ht="20" x14ac:dyDescent="0.4">
      <c r="A2" s="1"/>
      <c r="B2" s="16" t="s">
        <v>296</v>
      </c>
      <c r="C2" s="1"/>
      <c r="D2" s="1"/>
    </row>
    <row r="3" spans="1:4" x14ac:dyDescent="0.35">
      <c r="A3" s="1"/>
      <c r="B3" s="17" t="s">
        <v>297</v>
      </c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8" t="s">
        <v>298</v>
      </c>
      <c r="C5" s="2"/>
      <c r="D5" s="2"/>
    </row>
    <row r="6" spans="1:4" ht="25" x14ac:dyDescent="0.35">
      <c r="A6" s="1"/>
      <c r="B6" s="1"/>
      <c r="C6" s="57" t="s">
        <v>299</v>
      </c>
      <c r="D6" s="58" t="s">
        <v>85</v>
      </c>
    </row>
    <row r="7" spans="1:4" x14ac:dyDescent="0.35">
      <c r="A7" s="1"/>
      <c r="B7" s="1"/>
      <c r="C7" s="57" t="s">
        <v>300</v>
      </c>
      <c r="D7" s="55" t="s">
        <v>87</v>
      </c>
    </row>
    <row r="8" spans="1:4" ht="25" x14ac:dyDescent="0.35">
      <c r="A8" s="1"/>
      <c r="B8" s="1"/>
      <c r="C8" s="57" t="s">
        <v>301</v>
      </c>
      <c r="D8" s="55" t="s">
        <v>144</v>
      </c>
    </row>
    <row r="9" spans="1:4" x14ac:dyDescent="0.35">
      <c r="A9" s="1"/>
      <c r="B9" s="1"/>
      <c r="C9" s="57" t="s">
        <v>302</v>
      </c>
      <c r="D9" s="55" t="s">
        <v>89</v>
      </c>
    </row>
    <row r="10" spans="1:4" ht="25" x14ac:dyDescent="0.35">
      <c r="A10" s="1"/>
      <c r="B10" s="1"/>
      <c r="C10" s="57" t="s">
        <v>303</v>
      </c>
      <c r="D10" s="55" t="s">
        <v>91</v>
      </c>
    </row>
    <row r="11" spans="1:4" x14ac:dyDescent="0.35">
      <c r="A11" s="1"/>
      <c r="B11" s="1"/>
      <c r="C11" s="57" t="s">
        <v>304</v>
      </c>
      <c r="D11" s="55" t="s">
        <v>93</v>
      </c>
    </row>
    <row r="12" spans="1:4" x14ac:dyDescent="0.35">
      <c r="A12" s="1"/>
      <c r="B12" s="1"/>
      <c r="C12" s="57" t="s">
        <v>305</v>
      </c>
      <c r="D12" s="55" t="s">
        <v>95</v>
      </c>
    </row>
    <row r="13" spans="1:4" x14ac:dyDescent="0.35">
      <c r="A13" s="1"/>
      <c r="B13" s="1"/>
      <c r="C13" s="57" t="s">
        <v>306</v>
      </c>
      <c r="D13" s="55" t="s">
        <v>97</v>
      </c>
    </row>
    <row r="14" spans="1:4" x14ac:dyDescent="0.35">
      <c r="A14" s="1"/>
      <c r="B14" s="1"/>
      <c r="C14" s="57" t="s">
        <v>307</v>
      </c>
      <c r="D14" s="55" t="s">
        <v>78</v>
      </c>
    </row>
    <row r="15" spans="1:4" x14ac:dyDescent="0.35">
      <c r="A15" s="1"/>
      <c r="B15" s="1"/>
      <c r="C15" s="57" t="s">
        <v>308</v>
      </c>
      <c r="D15" s="58" t="s">
        <v>77</v>
      </c>
    </row>
    <row r="16" spans="1:4" ht="25" x14ac:dyDescent="0.35">
      <c r="A16" s="1"/>
      <c r="B16" s="1"/>
      <c r="C16" s="57" t="s">
        <v>309</v>
      </c>
      <c r="D16" s="55" t="s">
        <v>123</v>
      </c>
    </row>
    <row r="17" spans="1:4" x14ac:dyDescent="0.35">
      <c r="A17" s="1"/>
      <c r="B17" s="1"/>
      <c r="C17" s="57" t="s">
        <v>310</v>
      </c>
      <c r="D17" s="55" t="s">
        <v>125</v>
      </c>
    </row>
    <row r="18" spans="1:4" ht="37.5" x14ac:dyDescent="0.35">
      <c r="A18" s="1"/>
      <c r="B18" s="1"/>
      <c r="C18" s="57" t="s">
        <v>311</v>
      </c>
      <c r="D18" s="55" t="s">
        <v>108</v>
      </c>
    </row>
    <row r="19" spans="1:4" ht="25" x14ac:dyDescent="0.35">
      <c r="A19" s="1"/>
      <c r="B19" s="1"/>
      <c r="C19" s="57" t="s">
        <v>312</v>
      </c>
      <c r="D19" s="55" t="s">
        <v>112</v>
      </c>
    </row>
    <row r="20" spans="1:4" x14ac:dyDescent="0.35">
      <c r="A20" s="1"/>
      <c r="B20" s="1"/>
      <c r="C20" s="57" t="s">
        <v>313</v>
      </c>
      <c r="D20" s="55" t="s">
        <v>110</v>
      </c>
    </row>
    <row r="21" spans="1:4" x14ac:dyDescent="0.35">
      <c r="A21" s="1"/>
      <c r="B21" s="1"/>
      <c r="C21" s="57" t="s">
        <v>314</v>
      </c>
      <c r="D21" s="55" t="s">
        <v>114</v>
      </c>
    </row>
    <row r="22" spans="1:4" x14ac:dyDescent="0.35">
      <c r="A22" s="1"/>
      <c r="B22" s="1"/>
      <c r="C22" s="57" t="s">
        <v>315</v>
      </c>
      <c r="D22" s="55" t="s">
        <v>116</v>
      </c>
    </row>
    <row r="23" spans="1:4" ht="37.5" x14ac:dyDescent="0.35">
      <c r="A23" s="1"/>
      <c r="B23" s="1"/>
      <c r="C23" s="57" t="s">
        <v>316</v>
      </c>
      <c r="D23" s="55" t="s">
        <v>118</v>
      </c>
    </row>
    <row r="24" spans="1:4" x14ac:dyDescent="0.35">
      <c r="A24" s="1"/>
      <c r="B24" s="1"/>
      <c r="C24" s="57" t="s">
        <v>317</v>
      </c>
      <c r="D24" s="55" t="s">
        <v>120</v>
      </c>
    </row>
    <row r="25" spans="1:4" x14ac:dyDescent="0.35">
      <c r="A25" s="1"/>
      <c r="B25" s="1"/>
      <c r="C25" s="57" t="s">
        <v>318</v>
      </c>
      <c r="D25" s="55" t="s">
        <v>129</v>
      </c>
    </row>
    <row r="26" spans="1:4" x14ac:dyDescent="0.35">
      <c r="A26" s="1"/>
      <c r="B26" s="1"/>
      <c r="C26" s="57" t="s">
        <v>319</v>
      </c>
      <c r="D26" s="55" t="s">
        <v>131</v>
      </c>
    </row>
    <row r="27" spans="1:4" ht="25" x14ac:dyDescent="0.35">
      <c r="A27" s="1"/>
      <c r="B27" s="1"/>
      <c r="C27" s="57" t="s">
        <v>320</v>
      </c>
      <c r="D27" s="55" t="s">
        <v>321</v>
      </c>
    </row>
    <row r="28" spans="1:4" x14ac:dyDescent="0.35">
      <c r="A28" s="1"/>
      <c r="B28" s="1"/>
      <c r="C28" s="57" t="s">
        <v>322</v>
      </c>
      <c r="D28" s="55" t="s">
        <v>133</v>
      </c>
    </row>
    <row r="29" spans="1:4" x14ac:dyDescent="0.35">
      <c r="A29" s="1"/>
      <c r="B29" s="1"/>
      <c r="C29" s="57" t="s">
        <v>323</v>
      </c>
      <c r="D29" s="55" t="s">
        <v>324</v>
      </c>
    </row>
    <row r="30" spans="1:4" x14ac:dyDescent="0.35">
      <c r="A30" s="1"/>
      <c r="B30" s="1"/>
      <c r="C30" s="57" t="s">
        <v>325</v>
      </c>
      <c r="D30" s="55" t="s">
        <v>99</v>
      </c>
    </row>
    <row r="31" spans="1:4" ht="37.5" x14ac:dyDescent="0.35">
      <c r="A31" s="1"/>
      <c r="B31" s="1"/>
      <c r="C31" s="57" t="s">
        <v>326</v>
      </c>
      <c r="D31" s="55" t="s">
        <v>327</v>
      </c>
    </row>
    <row r="32" spans="1:4" ht="25" x14ac:dyDescent="0.35">
      <c r="A32" s="1"/>
      <c r="B32" s="1"/>
      <c r="C32" s="59"/>
      <c r="D32" s="55" t="s">
        <v>328</v>
      </c>
    </row>
    <row r="33" spans="1:4" x14ac:dyDescent="0.35">
      <c r="A33" s="1"/>
      <c r="B33" s="1"/>
      <c r="C33" s="59"/>
      <c r="D33" s="55" t="s">
        <v>329</v>
      </c>
    </row>
    <row r="34" spans="1:4" ht="25" x14ac:dyDescent="0.35">
      <c r="A34" s="1"/>
      <c r="B34" s="1"/>
      <c r="C34" s="57" t="s">
        <v>330</v>
      </c>
      <c r="D34" s="55" t="s">
        <v>331</v>
      </c>
    </row>
    <row r="35" spans="1:4" x14ac:dyDescent="0.35">
      <c r="A35" s="1"/>
      <c r="B35" s="1"/>
      <c r="C35" s="59"/>
      <c r="D35" s="55" t="s">
        <v>332</v>
      </c>
    </row>
    <row r="36" spans="1:4" ht="25" x14ac:dyDescent="0.35">
      <c r="A36" s="1"/>
      <c r="B36" s="1"/>
      <c r="C36" s="57" t="s">
        <v>333</v>
      </c>
      <c r="D36" s="55" t="s">
        <v>334</v>
      </c>
    </row>
  </sheetData>
  <hyperlinks>
    <hyperlink ref="D6" r:id="rId1" xr:uid="{00000000-0004-0000-0900-000000000000}"/>
    <hyperlink ref="D15" r:id="rId2" xr:uid="{00000000-0004-0000-0900-000001000000}"/>
  </hyperlinks>
  <printOptions horizontalCentere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Cover</vt:lpstr>
      <vt:lpstr>Summary</vt:lpstr>
      <vt:lpstr>Inputs</vt:lpstr>
      <vt:lpstr>Scenarios</vt:lpstr>
      <vt:lpstr>Sensitivity</vt:lpstr>
      <vt:lpstr>WACC</vt:lpstr>
      <vt:lpstr>DCF</vt:lpstr>
      <vt:lpstr>Diagnostics</vt:lpstr>
      <vt:lpstr>Checks</vt:lpstr>
      <vt:lpstr>Sources</vt:lpstr>
      <vt:lpstr>AllChecksPass</vt:lpstr>
      <vt:lpstr>OperatingAssets</vt:lpstr>
      <vt:lpstr>Summary!Print_Area</vt:lpstr>
      <vt:lpstr>SharePrice</vt:lpstr>
      <vt:lpstr>ValuePerShare</vt:lpstr>
      <vt:lpstr>WACC_Initial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2026-10-04T12:58:11Z</dcterms:created>
  <dcterms:modified xsi:type="dcterms:W3CDTF">2026-10-04T12:58:13Z</dcterms:modified>
</cp:coreProperties>
</file>