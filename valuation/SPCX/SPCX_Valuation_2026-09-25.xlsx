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B2C86B2E-2B32-4A80-8313-92530C9932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Summary" sheetId="2" r:id="rId2"/>
    <sheet name="Inputs" sheetId="3" r:id="rId3"/>
    <sheet name="Scenarios" sheetId="4" r:id="rId4"/>
    <sheet name="Sensitivity" sheetId="5" r:id="rId5"/>
    <sheet name="WACC" sheetId="6" r:id="rId6"/>
    <sheet name="Segments" sheetId="7" r:id="rId7"/>
    <sheet name="DCF" sheetId="8" r:id="rId8"/>
    <sheet name="Diagnostics" sheetId="9" r:id="rId9"/>
    <sheet name="Checks" sheetId="10" r:id="rId10"/>
    <sheet name="Sources" sheetId="11" r:id="rId11"/>
  </sheets>
  <definedNames>
    <definedName name="AllChecksPass">Checks!$F$19</definedName>
    <definedName name="OperatingAssets">DCF!$C$39</definedName>
    <definedName name="_xlnm.Print_Area" localSheetId="1">Summary!$A$1:$S$45</definedName>
    <definedName name="SharePrice">Inputs!$C$7</definedName>
    <definedName name="ValuePerShare">DCF!$C$49</definedName>
    <definedName name="WACC_Initial">WACC!$C$45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0" l="1"/>
  <c r="D17" i="10"/>
  <c r="F17" i="10" s="1"/>
  <c r="D16" i="10"/>
  <c r="F16" i="10" s="1"/>
  <c r="D14" i="10"/>
  <c r="D13" i="10"/>
  <c r="F6" i="10"/>
  <c r="E6" i="10"/>
  <c r="D6" i="10"/>
  <c r="C23" i="9"/>
  <c r="C19" i="9"/>
  <c r="C15" i="9"/>
  <c r="C7" i="9"/>
  <c r="C56" i="8"/>
  <c r="C57" i="8" s="1"/>
  <c r="C10" i="8" s="1"/>
  <c r="C13" i="8" s="1"/>
  <c r="C55" i="8"/>
  <c r="C21" i="8" s="1"/>
  <c r="C50" i="8"/>
  <c r="C48" i="8"/>
  <c r="G14" i="2" s="1"/>
  <c r="C46" i="8"/>
  <c r="G12" i="2" s="1"/>
  <c r="C44" i="8"/>
  <c r="G11" i="2" s="1"/>
  <c r="C43" i="8"/>
  <c r="G10" i="2" s="1"/>
  <c r="C42" i="8"/>
  <c r="G9" i="2" s="1"/>
  <c r="C41" i="8"/>
  <c r="G8" i="2" s="1"/>
  <c r="C40" i="8"/>
  <c r="G7" i="2" s="1"/>
  <c r="C37" i="8"/>
  <c r="C32" i="8"/>
  <c r="D12" i="10" s="1"/>
  <c r="C30" i="8"/>
  <c r="C12" i="8"/>
  <c r="N11" i="8"/>
  <c r="C11" i="8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C34" i="7"/>
  <c r="C28" i="7"/>
  <c r="C17" i="7"/>
  <c r="C16" i="7"/>
  <c r="F12" i="7" s="1"/>
  <c r="I34" i="7" s="1"/>
  <c r="I13" i="7"/>
  <c r="H39" i="7" s="1"/>
  <c r="H13" i="7"/>
  <c r="G13" i="7"/>
  <c r="F13" i="7"/>
  <c r="E13" i="7"/>
  <c r="J40" i="7" s="1"/>
  <c r="C13" i="7"/>
  <c r="B13" i="7"/>
  <c r="B38" i="7" s="1"/>
  <c r="I12" i="7"/>
  <c r="H12" i="7"/>
  <c r="E12" i="7"/>
  <c r="C12" i="7"/>
  <c r="B12" i="7"/>
  <c r="B32" i="7" s="1"/>
  <c r="I11" i="7"/>
  <c r="H11" i="7"/>
  <c r="G11" i="7"/>
  <c r="E11" i="7"/>
  <c r="C11" i="7"/>
  <c r="B11" i="7"/>
  <c r="B26" i="7" s="1"/>
  <c r="I10" i="7"/>
  <c r="H10" i="7"/>
  <c r="G10" i="7"/>
  <c r="E10" i="7"/>
  <c r="C10" i="7"/>
  <c r="C21" i="7" s="1"/>
  <c r="B10" i="7"/>
  <c r="B20" i="7" s="1"/>
  <c r="C40" i="6"/>
  <c r="C31" i="6"/>
  <c r="C30" i="6"/>
  <c r="C32" i="6" s="1"/>
  <c r="C26" i="6"/>
  <c r="C25" i="6"/>
  <c r="C24" i="6"/>
  <c r="C22" i="6"/>
  <c r="C21" i="6"/>
  <c r="E16" i="6"/>
  <c r="C16" i="6"/>
  <c r="B16" i="6"/>
  <c r="E15" i="6"/>
  <c r="C15" i="6"/>
  <c r="B15" i="6"/>
  <c r="E14" i="6"/>
  <c r="C14" i="6"/>
  <c r="B14" i="6"/>
  <c r="G9" i="6"/>
  <c r="D9" i="6"/>
  <c r="B9" i="6"/>
  <c r="G8" i="6"/>
  <c r="D8" i="6"/>
  <c r="B8" i="6"/>
  <c r="G7" i="6"/>
  <c r="D7" i="6"/>
  <c r="B7" i="6"/>
  <c r="I15" i="5"/>
  <c r="J22" i="4"/>
  <c r="C15" i="7" s="1"/>
  <c r="D10" i="7" s="1"/>
  <c r="F22" i="4"/>
  <c r="C8" i="6" s="1"/>
  <c r="K19" i="4"/>
  <c r="L19" i="4" s="1"/>
  <c r="D34" i="2" s="1"/>
  <c r="H19" i="4"/>
  <c r="F19" i="4"/>
  <c r="K18" i="4"/>
  <c r="C33" i="2" s="1"/>
  <c r="F18" i="4"/>
  <c r="K17" i="4"/>
  <c r="J17" i="4"/>
  <c r="F17" i="4"/>
  <c r="K16" i="4"/>
  <c r="J16" i="4"/>
  <c r="I16" i="4"/>
  <c r="F16" i="4"/>
  <c r="K15" i="4"/>
  <c r="L15" i="4" s="1"/>
  <c r="D30" i="2" s="1"/>
  <c r="J15" i="4"/>
  <c r="F15" i="4"/>
  <c r="D15" i="4"/>
  <c r="K14" i="4"/>
  <c r="L14" i="4" s="1"/>
  <c r="D29" i="2" s="1"/>
  <c r="J14" i="4"/>
  <c r="F14" i="4"/>
  <c r="K13" i="4"/>
  <c r="J13" i="4"/>
  <c r="F13" i="4"/>
  <c r="K12" i="4"/>
  <c r="L12" i="4" s="1"/>
  <c r="D27" i="2" s="1"/>
  <c r="J12" i="4"/>
  <c r="H12" i="4"/>
  <c r="F12" i="4"/>
  <c r="E12" i="4"/>
  <c r="K11" i="4"/>
  <c r="C26" i="2" s="1"/>
  <c r="J11" i="4"/>
  <c r="H11" i="4"/>
  <c r="F11" i="4"/>
  <c r="E11" i="4"/>
  <c r="D11" i="4"/>
  <c r="K10" i="4"/>
  <c r="C25" i="2" s="1"/>
  <c r="J10" i="4"/>
  <c r="F10" i="4"/>
  <c r="E10" i="4"/>
  <c r="D10" i="4"/>
  <c r="K9" i="4"/>
  <c r="C24" i="2" s="1"/>
  <c r="J9" i="4"/>
  <c r="K8" i="4"/>
  <c r="C23" i="2" s="1"/>
  <c r="I8" i="4"/>
  <c r="H8" i="4"/>
  <c r="H18" i="4" s="1"/>
  <c r="G8" i="4"/>
  <c r="G22" i="4" s="1"/>
  <c r="D12" i="7" s="1"/>
  <c r="E8" i="4"/>
  <c r="D8" i="4"/>
  <c r="E5" i="4"/>
  <c r="D43" i="2"/>
  <c r="D42" i="2"/>
  <c r="D41" i="2"/>
  <c r="D40" i="2"/>
  <c r="B34" i="2"/>
  <c r="B33" i="2"/>
  <c r="B32" i="2"/>
  <c r="B31" i="2"/>
  <c r="B30" i="2"/>
  <c r="B29" i="2"/>
  <c r="B28" i="2"/>
  <c r="B27" i="2"/>
  <c r="B26" i="2"/>
  <c r="B25" i="2"/>
  <c r="X24" i="2"/>
  <c r="B24" i="2"/>
  <c r="W23" i="2"/>
  <c r="V23" i="2"/>
  <c r="U23" i="2"/>
  <c r="B23" i="2"/>
  <c r="W22" i="2"/>
  <c r="V22" i="2"/>
  <c r="U22" i="2"/>
  <c r="W21" i="2"/>
  <c r="V21" i="2"/>
  <c r="U21" i="2"/>
  <c r="W20" i="2"/>
  <c r="V20" i="2"/>
  <c r="U20" i="2"/>
  <c r="X19" i="2"/>
  <c r="C17" i="2"/>
  <c r="W14" i="2"/>
  <c r="V14" i="2"/>
  <c r="U14" i="2"/>
  <c r="W12" i="2"/>
  <c r="U12" i="2"/>
  <c r="V12" i="2" s="1"/>
  <c r="W10" i="2"/>
  <c r="U10" i="2"/>
  <c r="C10" i="2"/>
  <c r="C11" i="2" s="1"/>
  <c r="W9" i="2"/>
  <c r="U9" i="2"/>
  <c r="W8" i="2"/>
  <c r="U8" i="2"/>
  <c r="V8" i="2" s="1"/>
  <c r="W7" i="2"/>
  <c r="U7" i="2"/>
  <c r="V7" i="2" s="1"/>
  <c r="C7" i="2"/>
  <c r="D12" i="1"/>
  <c r="F10" i="7" l="1"/>
  <c r="C30" i="2"/>
  <c r="C22" i="8"/>
  <c r="F39" i="7"/>
  <c r="E8" i="6"/>
  <c r="H13" i="4"/>
  <c r="H22" i="4"/>
  <c r="V10" i="2"/>
  <c r="M22" i="7"/>
  <c r="G34" i="7"/>
  <c r="F11" i="7"/>
  <c r="H28" i="7" s="1"/>
  <c r="C9" i="6"/>
  <c r="E9" i="6" s="1"/>
  <c r="V9" i="2"/>
  <c r="L8" i="4"/>
  <c r="D23" i="2" s="1"/>
  <c r="C29" i="2"/>
  <c r="C7" i="6"/>
  <c r="C27" i="2"/>
  <c r="C34" i="2"/>
  <c r="G28" i="7"/>
  <c r="E28" i="7"/>
  <c r="L28" i="7"/>
  <c r="K28" i="7"/>
  <c r="I40" i="7"/>
  <c r="D13" i="7"/>
  <c r="I39" i="7" s="1"/>
  <c r="D11" i="7"/>
  <c r="M27" i="7" s="1"/>
  <c r="C17" i="6"/>
  <c r="D16" i="6" s="1"/>
  <c r="F16" i="6" s="1"/>
  <c r="E10" i="10"/>
  <c r="D13" i="4"/>
  <c r="D18" i="4"/>
  <c r="D12" i="4"/>
  <c r="D22" i="4"/>
  <c r="C20" i="6" s="1"/>
  <c r="D17" i="4"/>
  <c r="D9" i="4"/>
  <c r="D16" i="4"/>
  <c r="F22" i="7"/>
  <c r="J22" i="7"/>
  <c r="I22" i="7"/>
  <c r="H22" i="7"/>
  <c r="F28" i="7"/>
  <c r="E19" i="4"/>
  <c r="E18" i="4"/>
  <c r="E15" i="4"/>
  <c r="E22" i="4"/>
  <c r="C28" i="8" s="1"/>
  <c r="E17" i="4"/>
  <c r="E9" i="4"/>
  <c r="E14" i="4"/>
  <c r="E16" i="4"/>
  <c r="D22" i="7"/>
  <c r="H34" i="7"/>
  <c r="F34" i="7"/>
  <c r="M34" i="7"/>
  <c r="L34" i="7"/>
  <c r="K34" i="7"/>
  <c r="J34" i="7"/>
  <c r="E40" i="7"/>
  <c r="E13" i="4"/>
  <c r="M21" i="7"/>
  <c r="F40" i="7"/>
  <c r="F41" i="7" s="1"/>
  <c r="C33" i="7"/>
  <c r="C40" i="7"/>
  <c r="I10" i="4"/>
  <c r="I15" i="4"/>
  <c r="I12" i="4"/>
  <c r="I22" i="4"/>
  <c r="G12" i="7" s="1"/>
  <c r="I9" i="4"/>
  <c r="I19" i="4"/>
  <c r="I11" i="4"/>
  <c r="I14" i="4"/>
  <c r="D40" i="7"/>
  <c r="C31" i="2"/>
  <c r="L16" i="4"/>
  <c r="D31" i="2" s="1"/>
  <c r="C22" i="7"/>
  <c r="H40" i="7"/>
  <c r="H41" i="7" s="1"/>
  <c r="L17" i="4"/>
  <c r="D32" i="2" s="1"/>
  <c r="C32" i="2"/>
  <c r="E22" i="7"/>
  <c r="L9" i="4"/>
  <c r="D24" i="2" s="1"/>
  <c r="I13" i="4"/>
  <c r="G22" i="7"/>
  <c r="G19" i="4"/>
  <c r="G11" i="4"/>
  <c r="G16" i="4"/>
  <c r="G10" i="4"/>
  <c r="G15" i="4"/>
  <c r="G18" i="4"/>
  <c r="G17" i="4"/>
  <c r="G9" i="4"/>
  <c r="D9" i="10"/>
  <c r="F9" i="10" s="1"/>
  <c r="I18" i="4"/>
  <c r="L13" i="4"/>
  <c r="D28" i="2" s="1"/>
  <c r="C28" i="2"/>
  <c r="L10" i="4"/>
  <c r="D25" i="2" s="1"/>
  <c r="G12" i="4"/>
  <c r="H21" i="7"/>
  <c r="M33" i="7"/>
  <c r="D14" i="4"/>
  <c r="L18" i="4"/>
  <c r="D33" i="2" s="1"/>
  <c r="D34" i="7"/>
  <c r="D19" i="4"/>
  <c r="E34" i="7"/>
  <c r="K40" i="7"/>
  <c r="L40" i="7"/>
  <c r="N22" i="8"/>
  <c r="F19" i="9" s="1"/>
  <c r="M40" i="7"/>
  <c r="U11" i="2"/>
  <c r="H9" i="4"/>
  <c r="L11" i="4"/>
  <c r="D26" i="2" s="1"/>
  <c r="K22" i="7"/>
  <c r="C39" i="7"/>
  <c r="L22" i="7"/>
  <c r="D39" i="7"/>
  <c r="H14" i="4"/>
  <c r="W11" i="2"/>
  <c r="H17" i="4"/>
  <c r="C27" i="7"/>
  <c r="E39" i="7"/>
  <c r="F42" i="7" s="1"/>
  <c r="G39" i="7"/>
  <c r="H10" i="4"/>
  <c r="G40" i="7"/>
  <c r="I28" i="7" l="1"/>
  <c r="J28" i="7"/>
  <c r="C45" i="7"/>
  <c r="C7" i="8" s="1"/>
  <c r="D28" i="7"/>
  <c r="M28" i="7"/>
  <c r="J39" i="7"/>
  <c r="J41" i="7" s="1"/>
  <c r="E7" i="6"/>
  <c r="C10" i="6"/>
  <c r="I42" i="7"/>
  <c r="I41" i="7"/>
  <c r="D7" i="9"/>
  <c r="D19" i="9"/>
  <c r="C11" i="9"/>
  <c r="C9" i="8"/>
  <c r="D15" i="9" s="1"/>
  <c r="D42" i="7"/>
  <c r="D41" i="7"/>
  <c r="H23" i="7"/>
  <c r="M29" i="7"/>
  <c r="C29" i="8"/>
  <c r="C23" i="6"/>
  <c r="H33" i="7"/>
  <c r="N17" i="8"/>
  <c r="F23" i="9" s="1"/>
  <c r="E12" i="10"/>
  <c r="F12" i="10" s="1"/>
  <c r="H42" i="7"/>
  <c r="G42" i="7"/>
  <c r="G41" i="7"/>
  <c r="M23" i="7"/>
  <c r="E41" i="7"/>
  <c r="E42" i="7"/>
  <c r="D14" i="6"/>
  <c r="L39" i="7"/>
  <c r="D15" i="6"/>
  <c r="F15" i="6" s="1"/>
  <c r="K39" i="7"/>
  <c r="M39" i="7"/>
  <c r="H27" i="7"/>
  <c r="D27" i="7"/>
  <c r="M35" i="7"/>
  <c r="I21" i="7"/>
  <c r="V11" i="2"/>
  <c r="D21" i="7"/>
  <c r="J42" i="7" l="1"/>
  <c r="H45" i="7"/>
  <c r="H7" i="8" s="1"/>
  <c r="E11" i="9" s="1"/>
  <c r="E10" i="6"/>
  <c r="F7" i="6" s="1"/>
  <c r="H35" i="7"/>
  <c r="I33" i="7"/>
  <c r="D33" i="7"/>
  <c r="I23" i="7"/>
  <c r="I24" i="7"/>
  <c r="J21" i="7"/>
  <c r="C44" i="6"/>
  <c r="C27" i="6"/>
  <c r="C33" i="6" s="1"/>
  <c r="M41" i="7"/>
  <c r="M42" i="7"/>
  <c r="H46" i="7"/>
  <c r="L41" i="7"/>
  <c r="L42" i="7"/>
  <c r="D17" i="6"/>
  <c r="F14" i="6"/>
  <c r="F17" i="6" s="1"/>
  <c r="C42" i="6" s="1"/>
  <c r="M46" i="7"/>
  <c r="D24" i="7"/>
  <c r="D23" i="7"/>
  <c r="E21" i="7"/>
  <c r="C31" i="8"/>
  <c r="E11" i="10"/>
  <c r="D29" i="7"/>
  <c r="D30" i="7"/>
  <c r="E27" i="7"/>
  <c r="I27" i="7"/>
  <c r="I45" i="7" s="1"/>
  <c r="I7" i="8" s="1"/>
  <c r="H29" i="7"/>
  <c r="K42" i="7"/>
  <c r="K41" i="7"/>
  <c r="M45" i="7"/>
  <c r="M7" i="8" s="1"/>
  <c r="I8" i="8" l="1"/>
  <c r="H7" i="6"/>
  <c r="F9" i="6"/>
  <c r="H9" i="6" s="1"/>
  <c r="F8" i="6"/>
  <c r="H8" i="6" s="1"/>
  <c r="M47" i="7"/>
  <c r="M10" i="8"/>
  <c r="H47" i="7"/>
  <c r="H10" i="8"/>
  <c r="F11" i="9"/>
  <c r="N7" i="8"/>
  <c r="N8" i="8" s="1"/>
  <c r="C16" i="2"/>
  <c r="D10" i="10"/>
  <c r="F10" i="10" s="1"/>
  <c r="C35" i="6"/>
  <c r="C34" i="6"/>
  <c r="C36" i="6"/>
  <c r="J23" i="7"/>
  <c r="J24" i="7"/>
  <c r="K21" i="7"/>
  <c r="I30" i="7"/>
  <c r="I48" i="7" s="1"/>
  <c r="I14" i="8" s="1"/>
  <c r="I29" i="7"/>
  <c r="I46" i="7" s="1"/>
  <c r="J27" i="7"/>
  <c r="J45" i="7" s="1"/>
  <c r="J7" i="8" s="1"/>
  <c r="J8" i="8" s="1"/>
  <c r="F27" i="7"/>
  <c r="E30" i="7"/>
  <c r="E29" i="7"/>
  <c r="D35" i="7"/>
  <c r="D46" i="7" s="1"/>
  <c r="D36" i="7"/>
  <c r="D48" i="7" s="1"/>
  <c r="D14" i="8" s="1"/>
  <c r="D21" i="8" s="1"/>
  <c r="E33" i="7"/>
  <c r="I35" i="7"/>
  <c r="I36" i="7"/>
  <c r="J33" i="7"/>
  <c r="D11" i="10"/>
  <c r="F11" i="10" s="1"/>
  <c r="C15" i="2"/>
  <c r="E23" i="7"/>
  <c r="E45" i="7"/>
  <c r="E7" i="8" s="1"/>
  <c r="E24" i="7"/>
  <c r="F21" i="7"/>
  <c r="D45" i="7"/>
  <c r="D7" i="8" s="1"/>
  <c r="F10" i="6" l="1"/>
  <c r="H10" i="6"/>
  <c r="C39" i="6" s="1"/>
  <c r="C41" i="6" s="1"/>
  <c r="C43" i="6" s="1"/>
  <c r="C45" i="6" s="1"/>
  <c r="I47" i="7"/>
  <c r="I10" i="8"/>
  <c r="D8" i="8"/>
  <c r="E7" i="9" s="1"/>
  <c r="D11" i="9"/>
  <c r="F7" i="9"/>
  <c r="K23" i="7"/>
  <c r="K24" i="7"/>
  <c r="L21" i="7"/>
  <c r="F24" i="7"/>
  <c r="F23" i="7"/>
  <c r="G21" i="7"/>
  <c r="E35" i="7"/>
  <c r="E46" i="7" s="1"/>
  <c r="E36" i="7"/>
  <c r="E48" i="7" s="1"/>
  <c r="E14" i="8" s="1"/>
  <c r="E21" i="8" s="1"/>
  <c r="F33" i="7"/>
  <c r="F45" i="7" s="1"/>
  <c r="F7" i="8" s="1"/>
  <c r="F8" i="8" s="1"/>
  <c r="H9" i="8"/>
  <c r="E15" i="9" s="1"/>
  <c r="F29" i="7"/>
  <c r="F30" i="7"/>
  <c r="G27" i="7"/>
  <c r="D10" i="8"/>
  <c r="D47" i="7"/>
  <c r="E8" i="8"/>
  <c r="J36" i="7"/>
  <c r="J35" i="7"/>
  <c r="K33" i="7"/>
  <c r="M9" i="8"/>
  <c r="J29" i="7"/>
  <c r="J30" i="7"/>
  <c r="J48" i="7" s="1"/>
  <c r="J14" i="8" s="1"/>
  <c r="K27" i="7"/>
  <c r="J46" i="7" l="1"/>
  <c r="J47" i="7" s="1"/>
  <c r="E10" i="8"/>
  <c r="E47" i="7"/>
  <c r="C26" i="8"/>
  <c r="C27" i="8" s="1"/>
  <c r="D8" i="10"/>
  <c r="F8" i="10" s="1"/>
  <c r="D39" i="5"/>
  <c r="N9" i="8"/>
  <c r="N10" i="8" s="1"/>
  <c r="N13" i="8" s="1"/>
  <c r="F15" i="9"/>
  <c r="D13" i="8"/>
  <c r="D9" i="8"/>
  <c r="D12" i="8"/>
  <c r="G30" i="7"/>
  <c r="G29" i="7"/>
  <c r="H30" i="7"/>
  <c r="K29" i="7"/>
  <c r="K46" i="7" s="1"/>
  <c r="K30" i="7"/>
  <c r="K48" i="7" s="1"/>
  <c r="K14" i="8" s="1"/>
  <c r="L27" i="7"/>
  <c r="L45" i="7" s="1"/>
  <c r="L7" i="8" s="1"/>
  <c r="L24" i="7"/>
  <c r="L23" i="7"/>
  <c r="M24" i="7"/>
  <c r="F35" i="7"/>
  <c r="F46" i="7" s="1"/>
  <c r="F36" i="7"/>
  <c r="F48" i="7" s="1"/>
  <c r="F14" i="8" s="1"/>
  <c r="F21" i="8" s="1"/>
  <c r="G33" i="7"/>
  <c r="G45" i="7" s="1"/>
  <c r="G7" i="8" s="1"/>
  <c r="J10" i="8"/>
  <c r="K45" i="7"/>
  <c r="K7" i="8" s="1"/>
  <c r="K8" i="8" s="1"/>
  <c r="I9" i="8"/>
  <c r="G23" i="7"/>
  <c r="G24" i="7"/>
  <c r="H24" i="7"/>
  <c r="K35" i="7"/>
  <c r="K36" i="7"/>
  <c r="L33" i="7"/>
  <c r="F47" i="7" l="1"/>
  <c r="F10" i="8"/>
  <c r="K47" i="7"/>
  <c r="K10" i="8"/>
  <c r="L29" i="7"/>
  <c r="L30" i="7"/>
  <c r="M30" i="7"/>
  <c r="J9" i="8"/>
  <c r="L8" i="8"/>
  <c r="M8" i="8"/>
  <c r="N14" i="8"/>
  <c r="N15" i="8" s="1"/>
  <c r="C33" i="8" s="1"/>
  <c r="L35" i="7"/>
  <c r="L36" i="7"/>
  <c r="M36" i="7"/>
  <c r="M48" i="7" s="1"/>
  <c r="M14" i="8" s="1"/>
  <c r="G8" i="8"/>
  <c r="H8" i="8"/>
  <c r="D22" i="8"/>
  <c r="D15" i="8"/>
  <c r="G35" i="7"/>
  <c r="G46" i="7" s="1"/>
  <c r="G36" i="7"/>
  <c r="G48" i="7" s="1"/>
  <c r="G14" i="8" s="1"/>
  <c r="G21" i="8" s="1"/>
  <c r="H36" i="7"/>
  <c r="H48" i="7" s="1"/>
  <c r="H14" i="8" s="1"/>
  <c r="H17" i="8"/>
  <c r="I17" i="8" s="1"/>
  <c r="J17" i="8" s="1"/>
  <c r="K17" i="8" s="1"/>
  <c r="L17" i="8" s="1"/>
  <c r="M17" i="8" s="1"/>
  <c r="D17" i="8"/>
  <c r="G17" i="8"/>
  <c r="C14" i="2"/>
  <c r="F17" i="8"/>
  <c r="E17" i="8"/>
  <c r="E9" i="8"/>
  <c r="E13" i="8"/>
  <c r="E12" i="8"/>
  <c r="L46" i="7" l="1"/>
  <c r="H21" i="8"/>
  <c r="I21" i="8" s="1"/>
  <c r="J21" i="8" s="1"/>
  <c r="K21" i="8" s="1"/>
  <c r="L48" i="7"/>
  <c r="L14" i="8" s="1"/>
  <c r="L21" i="8" s="1"/>
  <c r="M21" i="8" s="1"/>
  <c r="L10" i="8"/>
  <c r="L47" i="7"/>
  <c r="D23" i="9"/>
  <c r="D18" i="8"/>
  <c r="E18" i="8" s="1"/>
  <c r="F18" i="8" s="1"/>
  <c r="G18" i="8" s="1"/>
  <c r="H18" i="8" s="1"/>
  <c r="I18" i="8" s="1"/>
  <c r="J18" i="8" s="1"/>
  <c r="K18" i="8" s="1"/>
  <c r="L18" i="8" s="1"/>
  <c r="M18" i="8" s="1"/>
  <c r="E23" i="9" s="1"/>
  <c r="K9" i="8"/>
  <c r="F13" i="8"/>
  <c r="F9" i="8"/>
  <c r="F12" i="8"/>
  <c r="E15" i="8"/>
  <c r="E22" i="8"/>
  <c r="G47" i="7"/>
  <c r="G10" i="8"/>
  <c r="D19" i="8"/>
  <c r="E19" i="8" l="1"/>
  <c r="G9" i="8"/>
  <c r="G13" i="8"/>
  <c r="G12" i="8"/>
  <c r="F15" i="8"/>
  <c r="F19" i="8" s="1"/>
  <c r="F22" i="8"/>
  <c r="L9" i="8"/>
  <c r="C34" i="8"/>
  <c r="G22" i="8" l="1"/>
  <c r="G15" i="8"/>
  <c r="G19" i="8" s="1"/>
  <c r="H13" i="8"/>
  <c r="H12" i="8"/>
  <c r="H15" i="8" l="1"/>
  <c r="H19" i="8" s="1"/>
  <c r="H22" i="8"/>
  <c r="I12" i="8"/>
  <c r="I13" i="8"/>
  <c r="I22" i="8" l="1"/>
  <c r="I15" i="8"/>
  <c r="I19" i="8" s="1"/>
  <c r="J12" i="8"/>
  <c r="J13" i="8"/>
  <c r="J15" i="8" l="1"/>
  <c r="J19" i="8" s="1"/>
  <c r="J22" i="8"/>
  <c r="K13" i="8"/>
  <c r="K12" i="8"/>
  <c r="L13" i="8" l="1"/>
  <c r="L12" i="8"/>
  <c r="K22" i="8"/>
  <c r="K15" i="8"/>
  <c r="K19" i="8" s="1"/>
  <c r="L15" i="8" l="1"/>
  <c r="L19" i="8" s="1"/>
  <c r="L22" i="8"/>
  <c r="M13" i="8"/>
  <c r="M12" i="8"/>
  <c r="M15" i="8" l="1"/>
  <c r="M19" i="8" s="1"/>
  <c r="C35" i="8" s="1"/>
  <c r="C36" i="8" s="1"/>
  <c r="M22" i="8"/>
  <c r="E19" i="9" s="1"/>
  <c r="C38" i="8" l="1"/>
  <c r="C39" i="8" s="1"/>
  <c r="E15" i="10" l="1"/>
  <c r="G6" i="2"/>
  <c r="C12" i="2"/>
  <c r="C45" i="8"/>
  <c r="D15" i="10" l="1"/>
  <c r="F15" i="10" s="1"/>
  <c r="C47" i="8"/>
  <c r="C13" i="2" l="1"/>
  <c r="G13" i="2"/>
  <c r="C49" i="8"/>
  <c r="D7" i="10" l="1"/>
  <c r="F7" i="10" s="1"/>
  <c r="C39" i="5"/>
  <c r="U13" i="2"/>
  <c r="B13" i="5"/>
  <c r="C27" i="9"/>
  <c r="B27" i="5"/>
  <c r="E14" i="10"/>
  <c r="F14" i="10" s="1"/>
  <c r="D27" i="9"/>
  <c r="E13" i="10"/>
  <c r="F13" i="10" s="1"/>
  <c r="G15" i="2"/>
  <c r="C6" i="2"/>
  <c r="D11" i="1"/>
  <c r="W13" i="2"/>
  <c r="C52" i="8"/>
  <c r="C8" i="2" s="1"/>
  <c r="O7" i="4"/>
  <c r="C51" i="8"/>
  <c r="F19" i="10" l="1"/>
  <c r="D14" i="1" s="1"/>
  <c r="V13" i="2"/>
  <c r="C9" i="2"/>
  <c r="D13" i="1"/>
</calcChain>
</file>

<file path=xl/sharedStrings.xml><?xml version="1.0" encoding="utf-8"?>
<sst xmlns="http://schemas.openxmlformats.org/spreadsheetml/2006/main" count="527" uniqueCount="432">
  <si>
    <t>Space Exploration Technologies Corp. (NASDAQ: SPCX)</t>
  </si>
  <si>
    <t>Intrinsic Valuation: Damodaran FCFF (Ginzu) Framework</t>
  </si>
  <si>
    <t>Valuation date: 25 September 2026  |  $ in millions except per share  |  For internal discussion</t>
  </si>
  <si>
    <t>Headline</t>
  </si>
  <si>
    <t>Intrinsic value per share</t>
  </si>
  <si>
    <t>Share price (25-Sep-2026)</t>
  </si>
  <si>
    <t>Price as % of value</t>
  </si>
  <si>
    <t>Model checks</t>
  </si>
  <si>
    <t>Contents</t>
  </si>
  <si>
    <t>Summary</t>
  </si>
  <si>
    <t>Key outputs, EV-to-equity bridge, scenarios, football field, value walk</t>
  </si>
  <si>
    <t>Inputs</t>
  </si>
  <si>
    <t>All hard-coded inputs with sources (blue)</t>
  </si>
  <si>
    <t>Scenarios</t>
  </si>
  <si>
    <t>Live scenario selector and scenario table</t>
  </si>
  <si>
    <t>Sensitivity</t>
  </si>
  <si>
    <t>Live data tables: cost of capital, revenue x margin, riskfree</t>
  </si>
  <si>
    <t>WACC</t>
  </si>
  <si>
    <t>Cost of capital build (Damodaran's method)</t>
  </si>
  <si>
    <t>Segments</t>
  </si>
  <si>
    <t>Segment revenue, margin and reinvestment build</t>
  </si>
  <si>
    <t>DCF</t>
  </si>
  <si>
    <t>FCFF projection, terminal value and equity bridge</t>
  </si>
  <si>
    <t>Diagnostics</t>
  </si>
  <si>
    <t>Ginzu diagnostic checks vs industry</t>
  </si>
  <si>
    <t>Checks</t>
  </si>
  <si>
    <t>Tie-out to the calibrated engine and to the Ginzu rules</t>
  </si>
  <si>
    <t>Sources</t>
  </si>
  <si>
    <t>Sources, methodology, judgment calls, disclaimer</t>
  </si>
  <si>
    <t>Colour convention</t>
  </si>
  <si>
    <t>Blue: hard-coded input</t>
  </si>
  <si>
    <t>Black: formula</t>
  </si>
  <si>
    <t>Green: link to another sheet</t>
  </si>
  <si>
    <t>Yellow fill: flex / selector cell (keep at base)</t>
  </si>
  <si>
    <t>Educational application of Damodaran's public framework and data; not investment advice. See Sources.</t>
  </si>
  <si>
    <t>Valuation Summary: Space Exploration Technologies Corp. (NASDAQ: SPCX)</t>
  </si>
  <si>
    <t>Intrinsic value, Damodaran FCFF framework | Valuation date 25-Sep-2026 | $ in millions except per share</t>
  </si>
  <si>
    <t>Key outputs</t>
  </si>
  <si>
    <t>Enterprise value to equity bridge</t>
  </si>
  <si>
    <t>Chart data: football field ($ per share)</t>
  </si>
  <si>
    <t>Intrinsic value per share ($)</t>
  </si>
  <si>
    <t>Value of operating assets</t>
  </si>
  <si>
    <t>Reference</t>
  </si>
  <si>
    <t>Low</t>
  </si>
  <si>
    <t>High - low</t>
  </si>
  <si>
    <t>High</t>
  </si>
  <si>
    <t>Current share price ($)</t>
  </si>
  <si>
    <t>Less: debt</t>
  </si>
  <si>
    <t>52-week trading range</t>
  </si>
  <si>
    <t>Upside / (downside) to value</t>
  </si>
  <si>
    <t>Less: minority interests</t>
  </si>
  <si>
    <t>Analyst average target (third party)</t>
  </si>
  <si>
    <t>Plus: cash &amp; marketable securities</t>
  </si>
  <si>
    <t>DCF: cost of capital sensitivity</t>
  </si>
  <si>
    <t>Market capitalization</t>
  </si>
  <si>
    <t>Plus: non-operating assets</t>
  </si>
  <si>
    <t>DCF: revenue x margin sensitivity</t>
  </si>
  <si>
    <t>Market enterprise value</t>
  </si>
  <si>
    <t>Plus: IPO proceeds not yet received</t>
  </si>
  <si>
    <t>DCF: scenario range</t>
  </si>
  <si>
    <t>Intrinsic value of operating assets</t>
  </si>
  <si>
    <t>Less: employee options</t>
  </si>
  <si>
    <t>Damodaran June 2026 value</t>
  </si>
  <si>
    <t>Intrinsic value of equity</t>
  </si>
  <si>
    <t>Value of equity in common stock</t>
  </si>
  <si>
    <t>DCF base case</t>
  </si>
  <si>
    <t>Initial / terminal cost of capital</t>
  </si>
  <si>
    <t>Shares outstanding (m)</t>
  </si>
  <si>
    <t>Current share price</t>
  </si>
  <si>
    <t>Terminal growth (= riskfree)</t>
  </si>
  <si>
    <t>Value per share ($)</t>
  </si>
  <si>
    <t>2036 revenue (model)</t>
  </si>
  <si>
    <t>Damodaran June 2026 value per share ($)</t>
  </si>
  <si>
    <t>Chart data: value walk waterfall ($ per share)</t>
  </si>
  <si>
    <t>Revenue breakeven vs price (x the 2036 targets)</t>
  </si>
  <si>
    <t>Step</t>
  </si>
  <si>
    <t>Base</t>
  </si>
  <si>
    <t>Decrease</t>
  </si>
  <si>
    <t>Increase</t>
  </si>
  <si>
    <t>Total</t>
  </si>
  <si>
    <t>Breakeven computed by the engine (spacex_model.py); the same ratio sits in Sensitivity, row 33.</t>
  </si>
  <si>
    <t>June 2026</t>
  </si>
  <si>
    <t>Roll-forward</t>
  </si>
  <si>
    <t>Scenario analysis (live; one change at a time)</t>
  </si>
  <si>
    <t>Riskfree</t>
  </si>
  <si>
    <t>Scenario</t>
  </si>
  <si>
    <t>Value / share</t>
  </si>
  <si>
    <t>vs price</t>
  </si>
  <si>
    <t>Beta weights</t>
  </si>
  <si>
    <t>Country ERPs</t>
  </si>
  <si>
    <t>Sept 2026</t>
  </si>
  <si>
    <t>Value walk: Damodaran's June 2026 value to this update ($ per share)</t>
  </si>
  <si>
    <t>Step (engine attribution; order-dependent)</t>
  </si>
  <si>
    <t>Change</t>
  </si>
  <si>
    <t>Damodaran June 2026 value (IPO at $135)</t>
  </si>
  <si>
    <t>Roll-forward: TTM base year, IPO cash, 13.18bn shares</t>
  </si>
  <si>
    <t>Riskfree 4.56% -&gt; 5.17% (terminal 8.25% -&gt; 8.86%)</t>
  </si>
  <si>
    <t>Beta weights: April mix -&gt; TTM segment revenues</t>
  </si>
  <si>
    <t>Country ERPs: Jan-2026 -&gt; July-2026 (final)</t>
  </si>
  <si>
    <t>Inputs &amp; Assumptions</t>
  </si>
  <si>
    <t>$ in millions except per-share data | Blue = hard-coded input (source in column J) | Valuation date 25-Sep-2026</t>
  </si>
  <si>
    <t>Market data</t>
  </si>
  <si>
    <t>Valuation date</t>
  </si>
  <si>
    <t>Close of 25-Sep-2026 (last trading day before analysis)</t>
  </si>
  <si>
    <t>Share price ($)</t>
  </si>
  <si>
    <t>StockAnalysis, close 25-Sep-2026 4:00pm ET: https://stockanalysis.com/stocks/spcx/</t>
  </si>
  <si>
    <t>10-Q cover 28-Jul-2026: Class A 7,696.29m + Class B 5,485.49m (StockAnalysis shows 13.57bn)</t>
  </si>
  <si>
    <t>52-week low ($)</t>
  </si>
  <si>
    <t>StockAnalysis, 25-Sep-2026</t>
  </si>
  <si>
    <t>52-week high ($)</t>
  </si>
  <si>
    <t>Analyst average price target ($)</t>
  </si>
  <si>
    <t>StockAnalysis: consensus Buy, 35 analysts (third-party aggregate)</t>
  </si>
  <si>
    <t>Damodaran, SpaceX2026IPOUpdated.xlsx (reproduced exactly by the engine)</t>
  </si>
  <si>
    <t>Balance sheet &amp; income (Q2-2026 10-Q; TTM to 30-Jun-2026)</t>
  </si>
  <si>
    <t>Cash &amp; marketable securities</t>
  </si>
  <si>
    <t>FILING: cash 93,522 + marketable securities 6,487 at 2026-06-30 (includes the IPO's $85,675m net proceeds, so ipo_proceeds = 0)</t>
  </si>
  <si>
    <t>Debt incl. finance leases</t>
  </si>
  <si>
    <t>FILING: current 2,525 + long-term 36,839 debt and finance leases at 2026-06-30</t>
  </si>
  <si>
    <t>Book value of equity</t>
  </si>
  <si>
    <t>FILING: total shareholders' equity 127,224 at 2026-06-30</t>
  </si>
  <si>
    <t>Minority interests</t>
  </si>
  <si>
    <t>Not identified in the 10-Q balance sheet</t>
  </si>
  <si>
    <t>Non-operating assets (cross holdings)</t>
  </si>
  <si>
    <t>None identified</t>
  </si>
  <si>
    <t>IPO proceeds not yet received</t>
  </si>
  <si>
    <t>Operating income (EBIT), TTM</t>
  </si>
  <si>
    <t>FILING: FY2025 -2,589 + H1-2026 -2,086 - H1-2025 -943 (10-Q statements of operations)</t>
  </si>
  <si>
    <t>Interest expense, TTM</t>
  </si>
  <si>
    <t>FILING: FY2025 1,945 + H1-2026 1,293 - H1-2025 858</t>
  </si>
  <si>
    <t>Revenue, FY2025</t>
  </si>
  <si>
    <t>Damodaran's June 2026 model (prospectus FY2025 segment revenues)</t>
  </si>
  <si>
    <t>Net operating loss carried forward</t>
  </si>
  <si>
    <t>Ginzu default (no NOL override)</t>
  </si>
  <si>
    <t>Value of employee options</t>
  </si>
  <si>
    <t>DAMODARAN June inputs (effective 10%, marginal 25%; options excluded as in Damodaran's model; option counts not disclosed in the 10-Q)</t>
  </si>
  <si>
    <t>R&amp;D capitalization (Ginzu R&amp;D converter)</t>
  </si>
  <si>
    <t>R&amp;D expense, current (TTM)</t>
  </si>
  <si>
    <t>FILING: FY2025 8,643 + H1-2026 7,062 - H1-2025 3,515; earlier years = Damodaran's June inputs</t>
  </si>
  <si>
    <t>R&amp;D expense, year -1</t>
  </si>
  <si>
    <t>Damodaran's June 2026 model inputs</t>
  </si>
  <si>
    <t>R&amp;D expense, year -2</t>
  </si>
  <si>
    <t>R&amp;D expense, year -3</t>
  </si>
  <si>
    <t>R&amp;D expense, year -4</t>
  </si>
  <si>
    <t>R&amp;D expense, year -5</t>
  </si>
  <si>
    <t>Amortizable life (years)</t>
  </si>
  <si>
    <t>Damodaran's June 2026 model</t>
  </si>
  <si>
    <t>Taxes and discount-rate inputs</t>
  </si>
  <si>
    <t>Effective tax rate</t>
  </si>
  <si>
    <t>Marginal tax rate</t>
  </si>
  <si>
    <t>Riskfree rate (US 10-year Treasury)</t>
  </si>
  <si>
    <t>MARKET: US 10-year Treasury 5.17% on 2026-09-25 (https://www.cnbc.com/2026/09/25/treasury-yields-bonds-debt.html); Damodaran's company models use the T-bond rate</t>
  </si>
  <si>
    <t>Mature market ERP</t>
  </si>
  <si>
    <t>DAMODARAN July 2026 country-risk update: mature market ERP 4.20% (country_risk.py, ctrypremJuly26.xlsx)</t>
  </si>
  <si>
    <t>Terminal cost of capital</t>
  </si>
  <si>
    <t>DAMODARAN 8.25% steady-state choice, moved with the riskfree rate (+0.61pts: 5.17% - 4.56%), as Damodaran's industry-average method adjusts for riskfree changes</t>
  </si>
  <si>
    <t>Terminal return on capital (ROIC)</t>
  </si>
  <si>
    <t>Damodaran's June 2026 override (15%)</t>
  </si>
  <si>
    <t>Probability of failure</t>
  </si>
  <si>
    <t>Damodaran's June 2026 model (no failure)</t>
  </si>
  <si>
    <t>Distress proceeds (% of fair value)</t>
  </si>
  <si>
    <t>Ginzu template default</t>
  </si>
  <si>
    <t>June 2026 model riskfree rate (reference)</t>
  </si>
  <si>
    <t>June 2026 model terminal cost of capital (reference)</t>
  </si>
  <si>
    <t>Segment story (Damodaran's June 2026 story; base year rolled to TTM)</t>
  </si>
  <si>
    <t>Segment</t>
  </si>
  <si>
    <t>Base revenue (TTM)</t>
  </si>
  <si>
    <t>2036 revenue</t>
  </si>
  <si>
    <t>Base margin</t>
  </si>
  <si>
    <t>Target margin</t>
  </si>
  <si>
    <t>Sales/capital yrs 1-5</t>
  </si>
  <si>
    <t>Sales/capital yrs 6-10</t>
  </si>
  <si>
    <t>Starts after yr 5</t>
  </si>
  <si>
    <t>Launch (Space segment)</t>
  </si>
  <si>
    <t>FILING: Damodaran's FY2025 segment revenues + H1-2026 - H1-2025 from SpaceX Q2-2026 10-Q Note 3 (Space 4,086+1,581-1,611; Connectivity 11,387+7,548-5,062; AI 3,201+3,379-1,465), https://www.sec.gov/Archives/edgar/data/0001181412/000162828026052535/spcx-20260630.htm</t>
  </si>
  <si>
    <t>Starlink (Connectivity segment)</t>
  </si>
  <si>
    <t>DAMODARAN June 2026 model, unchanged: SpaceX2026IPOUpdated.xlsx; post https://aswathdamodaran.blogspot.com/2026/06/a-weeks-ago-i-assessed-value-of-spacex.html (base segment margins kept: the 10-Q does not disclose segment profit)</t>
  </si>
  <si>
    <t>xAI (AI segment)</t>
  </si>
  <si>
    <t>Other (expansion options)</t>
  </si>
  <si>
    <t>Year of margin convergence</t>
  </si>
  <si>
    <t>Cost of capital inputs (Damodaran's method; Damodaran Jan-2026 global industry data)</t>
  </si>
  <si>
    <t>Business (industry)</t>
  </si>
  <si>
    <t>Revenue weight (TTM)</t>
  </si>
  <si>
    <t>Unlevered beta</t>
  </si>
  <si>
    <t>EV/Sales</t>
  </si>
  <si>
    <t>June-model weight</t>
  </si>
  <si>
    <t>Aerospace/Defense</t>
  </si>
  <si>
    <t>Industry betas &amp; EV/Sales: Damodaran fcffsimpleginzu.xlsx global industry averages (Jan-2026)</t>
  </si>
  <si>
    <t>Telecom. Services</t>
  </si>
  <si>
    <t>Revenue weights = TTM segments (Space, Connectivity, AI); June weights = the stale April mix in the June model</t>
  </si>
  <si>
    <t>Software (System &amp; Application)</t>
  </si>
  <si>
    <t>Operating country</t>
  </si>
  <si>
    <t>Revenue weight</t>
  </si>
  <si>
    <t>ERP (Jul-2026)</t>
  </si>
  <si>
    <t>ERP (Jan-2026)</t>
  </si>
  <si>
    <t>United States</t>
  </si>
  <si>
    <t>Weights: Damodaran's June sheet (10-Q has no geographic split). ERPs: Damodaran's ctrypremJuly26.xlsx (country_risk.py); rest of world = 6.18% (June sheet)</t>
  </si>
  <si>
    <t>China</t>
  </si>
  <si>
    <t>Rest of the world</t>
  </si>
  <si>
    <t>Bond rating</t>
  </si>
  <si>
    <t>Ba2/BB</t>
  </si>
  <si>
    <t>Default spread for rating</t>
  </si>
  <si>
    <t>Damodaran's Jan-2026 rating/spread table</t>
  </si>
  <si>
    <t>Average debt maturity (years)</t>
  </si>
  <si>
    <t>Industry benchmarks for Diagnostics (US Aerospace/Defense, Damodaran Jan-2026)</t>
  </si>
  <si>
    <t>Revenue growth (5-yr average)</t>
  </si>
  <si>
    <t>Damodaran fcffsimpleginzu.xlsx, Industry Averages (US), Jan-2026</t>
  </si>
  <si>
    <t>Pre-tax operating margin (R&amp;D adjusted)</t>
  </si>
  <si>
    <t>Sales / capital</t>
  </si>
  <si>
    <t>Cost of capital</t>
  </si>
  <si>
    <t>Scenario Analysis</t>
  </si>
  <si>
    <t>One change at a time vs the base case (same set as spacex_model.py --sensitivity). Set the active scenario in D5; column K is a live data table.</t>
  </si>
  <si>
    <t>Active scenario (enter 1-12)</t>
  </si>
  <si>
    <t>Data table (Excel What-If; do not edit)</t>
  </si>
  <si>
    <t>#</t>
  </si>
  <si>
    <t>Beta weight set (1=TTM, 2=June)</t>
  </si>
  <si>
    <t>xAI 2036 revenue</t>
  </si>
  <si>
    <t>Starlink target margin</t>
  </si>
  <si>
    <t>xAI sales/capital yrs 1-5</t>
  </si>
  <si>
    <t>2036 revenue multiplier</t>
  </si>
  <si>
    <t>Base case</t>
  </si>
  <si>
    <t>June-model beta weights (xAI at $100m, stale)</t>
  </si>
  <si>
    <t>Riskfree back at June 4.56% (terminal coc 8.25%)</t>
  </si>
  <si>
    <t>Terminal cost of capital = June model's 8.25%</t>
  </si>
  <si>
    <t>Terminal cost of capital = rf + mature ERP 9.37%</t>
  </si>
  <si>
    <t>xAI 2036 revenue $80bn (April 2026 view)</t>
  </si>
  <si>
    <t>xAI 2036 revenue $240bn</t>
  </si>
  <si>
    <t>Starlink target margin 50%</t>
  </si>
  <si>
    <t>Starlink target margin 70%</t>
  </si>
  <si>
    <t>xAI sales-to-capital 0.5 in yrs 1-5 (H1-26 capex pace)</t>
  </si>
  <si>
    <t>All 2036 revenue targets x0.75</t>
  </si>
  <si>
    <t>All 2036 revenue targets x1.25</t>
  </si>
  <si>
    <t>Live drivers (active scenario, feed the model)</t>
  </si>
  <si>
    <t>Active scenario values</t>
  </si>
  <si>
    <t>Engine check (spacex_model.py --sensitivity): scenario values must equal column K; see Checks.</t>
  </si>
  <si>
    <t>Sensitivity Analysis</t>
  </si>
  <si>
    <t>Live Excel data tables on value per share ($). Flex cells (yellow) must stay neutral for the base case; the data tables vary them.</t>
  </si>
  <si>
    <t>Flex cells (neutral values = base case)</t>
  </si>
  <si>
    <t>Change in initial cost of capital</t>
  </si>
  <si>
    <t>Change in terminal cost of capital</t>
  </si>
  <si>
    <t>2036 revenue multiplier (all segments)</t>
  </si>
  <si>
    <t>Change in target margin (all segments)</t>
  </si>
  <si>
    <t>Change in riskfree rate</t>
  </si>
  <si>
    <t>Value per share: initial vs terminal cost of capital (change from base)</t>
  </si>
  <si>
    <t>Rows: change in initial cost of capital | Columns: change in terminal cost of capital</t>
  </si>
  <si>
    <t>Shaded green: value at or above the current share price</t>
  </si>
  <si>
    <t>Value per share: 2036 revenue multiplier vs target-margin change (all segments)</t>
  </si>
  <si>
    <t>Rows: 2036 revenue multiplier (1.89x = breakeven vs price) | Columns: change in target margins</t>
  </si>
  <si>
    <t>Riskfree rate: value per share and cost of capital (terminal cost of capital and growth move with it)</t>
  </si>
  <si>
    <t>Initial WACC</t>
  </si>
  <si>
    <t>(base)</t>
  </si>
  <si>
    <t>Cost of Capital</t>
  </si>
  <si>
    <t>Damodaran's method: multi-business unlevered beta (revenue x industry EV/Sales weights), ERP by operating country, rating-based cost of debt, market-value weights</t>
  </si>
  <si>
    <t>Unlevered beta: multi-business</t>
  </si>
  <si>
    <t>Business</t>
  </si>
  <si>
    <t>Revenue (live)</t>
  </si>
  <si>
    <t>Estimated value</t>
  </si>
  <si>
    <t>Weight</t>
  </si>
  <si>
    <t>Weighted beta</t>
  </si>
  <si>
    <t>Total / unlevered beta</t>
  </si>
  <si>
    <t>Equity risk premium: operating-country weights</t>
  </si>
  <si>
    <t>Country</t>
  </si>
  <si>
    <t>Revenue</t>
  </si>
  <si>
    <t>ERP</t>
  </si>
  <si>
    <t>Weighted ERP</t>
  </si>
  <si>
    <t>Total / weighted ERP</t>
  </si>
  <si>
    <t>Cost of debt (actual rating) and market value of debt</t>
  </si>
  <si>
    <t>Riskfree rate (live)</t>
  </si>
  <si>
    <t>Default spread</t>
  </si>
  <si>
    <t>Pre-tax cost of debt</t>
  </si>
  <si>
    <t>Book value of debt</t>
  </si>
  <si>
    <t>Interest expense (TTM)</t>
  </si>
  <si>
    <t>Average maturity (years)</t>
  </si>
  <si>
    <t>Market value of debt</t>
  </si>
  <si>
    <t>Capital structure (market values)</t>
  </si>
  <si>
    <t>Share price</t>
  </si>
  <si>
    <t>Market value of equity</t>
  </si>
  <si>
    <t>Debt / equity</t>
  </si>
  <si>
    <t>Debt / capital</t>
  </si>
  <si>
    <t>Equity / capital</t>
  </si>
  <si>
    <t>Levered beta  = Bu x (1 + (1 - t) x D/E)</t>
  </si>
  <si>
    <t>Equity risk premium</t>
  </si>
  <si>
    <t>Cost of equity  = Rf + Bl x ERP</t>
  </si>
  <si>
    <t>After-tax cost of debt</t>
  </si>
  <si>
    <t>Cost of capital (initial)</t>
  </si>
  <si>
    <t>Segment Build</t>
  </si>
  <si>
    <t>Damodaran's June 2026 SpaceX mechanics: revenue steps toward year 5 then the 2036 target; margins converge linearly; reinvestment = revenue change / segment sales-to-capital. $ in millions.</t>
  </si>
  <si>
    <t>Base (TTM)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</si>
  <si>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</si>
  <si>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</si>
  <si>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</si>
  <si>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</si>
  <si>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</si>
  <si>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</si>
  <si>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</si>
  <si>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</si>
  <si>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</si>
  <si>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</si>
  <si>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(t)</t>
  </si>
  <si>
    <t>Step toward anchor (June 2026 model path)</t>
  </si>
  <si>
    <t>Live segment drivers</t>
  </si>
  <si>
    <t>Base revenue</t>
  </si>
  <si>
    <t>S/C yrs 1-5</t>
  </si>
  <si>
    <t>S/C yrs 6-10</t>
  </si>
  <si>
    <t>Revenue multiplier (scenario x flex)</t>
  </si>
  <si>
    <t>Target margin change (flex)</t>
  </si>
  <si>
    <t>Operating margin</t>
  </si>
  <si>
    <t>Operating income (EBIT)</t>
  </si>
  <si>
    <t>Reinvestment</t>
  </si>
  <si>
    <t>Total company</t>
  </si>
  <si>
    <t>Total revenue</t>
  </si>
  <si>
    <t>Total operating income (EBIT)</t>
  </si>
  <si>
    <t>Total reinvestment</t>
  </si>
  <si>
    <t>Discounted Cash Flow (FCFF)</t>
  </si>
  <si>
    <t>Damodaran fcffsimpleginzu mechanics: tax drifts to marginal in years 6-10, NOL shield, cost of capital drifts to terminal, terminal reinvestment = g / ROIC. $ in millions except per share.</t>
  </si>
  <si>
    <t>Terminal</t>
  </si>
  <si>
    <t>Revenue growth</t>
  </si>
  <si>
    <t>Tax rate</t>
  </si>
  <si>
    <t>Net operating loss (NOL)</t>
  </si>
  <si>
    <t>After-tax operating income</t>
  </si>
  <si>
    <t>Less: reinvestment</t>
  </si>
  <si>
    <t>Free cash flow to firm (FCFF)</t>
  </si>
  <si>
    <t>Cumulative discount factor</t>
  </si>
  <si>
    <t>Present value of FCFF</t>
  </si>
  <si>
    <t>Invested capital</t>
  </si>
  <si>
    <t>Return on invested capital</t>
  </si>
  <si>
    <t>Valuation</t>
  </si>
  <si>
    <t>Cost of capital (from WACC tab)</t>
  </si>
  <si>
    <t>Initial cost of capital (incl. flex)</t>
  </si>
  <si>
    <t>Terminal cost of capital (live)</t>
  </si>
  <si>
    <t>Stable growth rule</t>
  </si>
  <si>
    <t>Terminal growth rate</t>
  </si>
  <si>
    <t>Terminal return on capital</t>
  </si>
  <si>
    <t>Terminal value  = FCFF(t+1) / (r - g)</t>
  </si>
  <si>
    <t>PV of terminal value</t>
  </si>
  <si>
    <t>PV of FCFF, years 1-10</t>
  </si>
  <si>
    <t>Sum of present values</t>
  </si>
  <si>
    <t>Proceeds if the firm fails</t>
  </si>
  <si>
    <t>Value of equity</t>
  </si>
  <si>
    <t>Less: value of employee options</t>
  </si>
  <si>
    <t>Estimated value per share ($)</t>
  </si>
  <si>
    <t>Value of research asset</t>
  </si>
  <si>
    <t>Amortization of research asset (this year)</t>
  </si>
  <si>
    <t>Adjustment to operating income (R&amp;D - amortization)</t>
  </si>
  <si>
    <t>The Ginzu 'Diagnostics' sheet: the forecast set against industry averages, with the questions Damodaran suggests asking</t>
  </si>
  <si>
    <t>1. Revenue growth</t>
  </si>
  <si>
    <t>Industry (5-yr avg)</t>
  </si>
  <si>
    <t>Last year</t>
  </si>
  <si>
    <t>Next year</t>
  </si>
  <si>
    <t>CAGR yrs 2-5</t>
  </si>
  <si>
    <t>Growth above industry: is the company small? Very different from last year's growth: why?</t>
  </si>
  <si>
    <t>2. Dollar revenues</t>
  </si>
  <si>
    <t>Now (TTM)</t>
  </si>
  <si>
    <t>How big is the total market; what do its biggest firms earn; what share does year 10 imply? (Damodaran rejected the prospectus $28trn TAM as fantasy.)</t>
  </si>
  <si>
    <t>3. Operating margin</t>
  </si>
  <si>
    <t>Industry</t>
  </si>
  <si>
    <t>Now (R&amp;D adj.)</t>
  </si>
  <si>
    <t>Industry margins? Unit economics (the cost of the extra unit)? What does competition look like?</t>
  </si>
  <si>
    <t>4. Reinvestment &amp; ROIC</t>
  </si>
  <si>
    <t>Industry sales/capital</t>
  </si>
  <si>
    <t>Sales/capital now</t>
  </si>
  <si>
    <t>ROIC year 10</t>
  </si>
  <si>
    <t>Stable ROIC</t>
  </si>
  <si>
    <t>Bounce-back or new growth? Excess capacity? Does efficiency change with scale? H1-2026 capex was $28.5bn vs ~$10bn year-1 reinvestment here.</t>
  </si>
  <si>
    <t>5. Cost of capital</t>
  </si>
  <si>
    <t>Years 1-5</t>
  </si>
  <si>
    <t>Compounded</t>
  </si>
  <si>
    <t>Stable</t>
  </si>
  <si>
    <t>How does it compare with the industry? What happens to it over time, and why?</t>
  </si>
  <si>
    <t>6. Value vs price</t>
  </si>
  <si>
    <t>Value / price</t>
  </si>
  <si>
    <t>Flag</t>
  </si>
  <si>
    <t>Ginzu flags: value below 50% or above 200% of price -&gt; revisit growth, target margin, sales/capital and terminal ROIC.</t>
  </si>
  <si>
    <t>Model Checks</t>
  </si>
  <si>
    <t>Ties the workbook to the aswath-finance engine (calibrated to Damodaran's spreadsheets) and to the Ginzu rules. Engine reference values are hard-coded outputs of spacex_model.py on 2026-09-25.</t>
  </si>
  <si>
    <t>Check</t>
  </si>
  <si>
    <t>Workbook</t>
  </si>
  <si>
    <t>Engine / rule</t>
  </si>
  <si>
    <t>Result</t>
  </si>
  <si>
    <t>Note</t>
  </si>
  <si>
    <t>Model in base state (scenario 1, flex cells neutral)</t>
  </si>
  <si>
    <t>Tie-outs below are only meaningful in base state</t>
  </si>
  <si>
    <t>Value per share ties to engine</t>
  </si>
  <si>
    <t>spacex_model.py sep_2026_inputs.json</t>
  </si>
  <si>
    <t>Initial cost of capital ties to engine</t>
  </si>
  <si>
    <t>cost_of_capital.py (Damodaran's method)</t>
  </si>
  <si>
    <t>Scenario values tie to engine (max abs difference, $)</t>
  </si>
  <si>
    <t>spacex_model.py --sensitivity, 12 scenarios</t>
  </si>
  <si>
    <t>Year-10 revenue = sum of live 2036 targets</t>
  </si>
  <si>
    <t>Segment path lands on the 2036 targets</t>
  </si>
  <si>
    <t>Terminal growth &lt;= riskfree (Ginzu rule)</t>
  </si>
  <si>
    <t>Stable growth capped at riskfree</t>
  </si>
  <si>
    <t>Terminal ROIC &gt;= terminal cost of capital (Ginzu rule)</t>
  </si>
  <si>
    <t>Otherwise growth destroys value</t>
  </si>
  <si>
    <t>Sensitivity table 1 centre = base value</t>
  </si>
  <si>
    <t>Data table recalculated by Excel</t>
  </si>
  <si>
    <t>Sensitivity table 2 (1.00x, 0%) = base value</t>
  </si>
  <si>
    <t>Equity bridge adds up</t>
  </si>
  <si>
    <t>Value walk ends at the engine value</t>
  </si>
  <si>
    <t>Engine attribution</t>
  </si>
  <si>
    <t>Breakeven multiplier reproduces the price</t>
  </si>
  <si>
    <t>Row 1.89x, 0% margin change</t>
  </si>
  <si>
    <t>ALL CHECKS PASS</t>
  </si>
  <si>
    <t>Sources, Methodology &amp; Notes</t>
  </si>
  <si>
    <t>Every input traces to a filing, market data, or Damodaran's own model/data</t>
  </si>
  <si>
    <t>Sources and notes</t>
  </si>
  <si>
    <t>Filings</t>
  </si>
  <si>
    <t>SpaceX Q2-2026 Form 10-Q: https://www.sec.gov/Archives/edgar/data/0001181412/000162828026052535/spcx-20260630.htm</t>
  </si>
  <si>
    <t>SpaceX Q2-2026 earnings release: https://www.sec.gov/Archives/edgar/data/1181412/000162828026052515/earningsreleaseq22608042.htm</t>
  </si>
  <si>
    <t>StockAnalysis SPCX (close, 52-week range, analyst target), 25-Sep-2026: https://stockanalysis.com/stocks/spcx/</t>
  </si>
  <si>
    <t>US 10-year Treasury 5.17%, 25-Sep-2026: https://www.cnbc.com/2026/09/25/treasury-yields-bonds-debt.html</t>
  </si>
  <si>
    <t>Q2-2026 results context (AI capex): https://www.cnbc.com/2026/08/04/spacex-spcx-earnings-live-updates-q2-2026.html</t>
  </si>
  <si>
    <t>Damodaran model</t>
  </si>
  <si>
    <t>Damodaran, SpaceX2026IPOUpdated.xlsx (June 2026): https://pages.stern.nyu.edu/~adamodar/pc/blog/SpaceX2026IPOUpdated.xlsx</t>
  </si>
  <si>
    <t>Damodaran posts</t>
  </si>
  <si>
    <t>Revisiting the SpaceX Valuation (2026-06): https://aswathdamodaran.blogspot.com/2026/06/a-weeks-ago-i-assessed-value-of-spacex.html</t>
  </si>
  <si>
    <t>To a Trillion(s) Dollars and beyond: A SpaceX IPO Odyssey (2026-04): https://aswathdamodaran.blogspot.com/2026/04/to-trillion-dollars-and-beyond-spacex.html</t>
  </si>
  <si>
    <t>Damodaran data</t>
  </si>
  <si>
    <t>fcffsimpleginzu.xlsx industry averages &amp; rating spreads (Jan-2026); ctrypremJuly26.xlsx country ERPs (Jul-2026): pages.stern.nyu.edu/~adamodar</t>
  </si>
  <si>
    <t>Methodology</t>
  </si>
  <si>
    <t>FCFF DCF transcribed from Damodaran's fcffsimpleginzu spreadsheet; the aswath-finance engine reproduces 31 published Damodaran valuations exactly.</t>
  </si>
  <si>
    <t>Segment mechanics transcribed from Damodaran's June 2026 SpaceX workbook (rebuilt from raw inputs to its $97.8277/share).</t>
  </si>
  <si>
    <t>Cost of capital: Damodaran's worksheet method (multi-business beta, operating-country ERP, rating spread), reproduced exactly at 8.3745% for June.</t>
  </si>
  <si>
    <t>Judgment calls</t>
  </si>
  <si>
    <t>1) Beta weights updated from the stale April mix to TTM segment revenues (the literal June weights: see Scenario 2).</t>
  </si>
  <si>
    <t>2) Terminal cost of capital = the June model's 8.25% moved with the riskfree rate (+0.61pt), following Damodaran's riskfree-adjustment convention.</t>
  </si>
  <si>
    <t>3) Base segment margins, operating-country weights, Ba2/BB rating and excluded options kept from the June model (not disclosed in the 10-Q).</t>
  </si>
  <si>
    <t>4) Share count from the 10-Q cover (13,182m); StockAnalysis shows 13.57bn, which would lower value/share by about 2.9%.</t>
  </si>
  <si>
    <t>5) The story (2036 revenue targets, target margins, sales-to-capital) is Damodaran's June 2026 story, unchanged.</t>
  </si>
  <si>
    <t>Damodaran's stance (June 2026)</t>
  </si>
  <si>
    <t>At the $135 offer price: "too richly priced for my tastes"; "as an investor, I would not sell short, notwithstanding my value assessment".</t>
  </si>
  <si>
    <t>Disclaimer</t>
  </si>
  <si>
    <t>Educational application of Damodaran's public framework and data. Not investment advice, not a recommendation, and not affiliated with or endorsed by Damodaran or any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</si>
</sst>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dd\-mmm\-yyyy"/>
    <numFmt numFmtId="166" formatCode="\$#,##0.00_);\(\$#,##0.00\)"/>
    <numFmt numFmtId="167" formatCode="#,##0_);\(#,##0\);&quot;–&quot;_)"/>
    <numFmt numFmtId="168" formatCode="0.0%_);\(0.0%\);&quot;–&quot;_)"/>
    <numFmt numFmtId="169" formatCode="0.00%_);\(0.00%\);&quot;–&quot;_)"/>
    <numFmt numFmtId="170" formatCode="0.00_);\(0.00\)"/>
    <numFmt numFmtId="171" formatCode="0.0000"/>
    <numFmt numFmtId="172" formatCode="0.00&quot;x&quot;"/>
    <numFmt numFmtId="173" formatCode="0.0"/>
    <numFmt numFmtId="174" formatCode="\+\$#,##0.00;\-\$#,##0.00"/>
    <numFmt numFmtId="175" formatCode="\$#,##0.0000"/>
    <numFmt numFmtId="176" formatCode="0.0000%"/>
    <numFmt numFmtId="177" formatCode="&quot;$&quot;#,##0.00_);\(&quot;$&quot;#,##0.00\)"/>
  </numFmts>
  <fonts count="16" x14ac:knownFonts="1">
    <font>
      <sz val="11"/>
      <color theme="1"/>
      <name val="Calibri"/>
      <family val="2"/>
      <scheme val="minor"/>
    </font>
    <font>
      <b/>
      <sz val="16"/>
      <color rgb="FF0B2545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i/>
      <sz val="8"/>
      <color rgb="FF595959"/>
      <name val="Arial"/>
    </font>
    <font>
      <b/>
      <sz val="10"/>
      <name val="Arial"/>
    </font>
    <font>
      <sz val="10"/>
      <color rgb="FF008000"/>
      <name val="Arial"/>
    </font>
    <font>
      <b/>
      <sz val="10"/>
      <color rgb="FF008000"/>
      <name val="Arial"/>
    </font>
    <font>
      <u/>
      <sz val="10"/>
      <color rgb="FF1F4E79"/>
      <name val="Arial"/>
    </font>
    <font>
      <b/>
      <sz val="20"/>
      <color rgb="FFFFFFFF"/>
      <name val="Arial"/>
    </font>
    <font>
      <sz val="13"/>
      <color rgb="FFFFFFFF"/>
      <name val="Arial"/>
    </font>
    <font>
      <i/>
      <sz val="10"/>
      <color rgb="FFDCE6F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4" fillId="0" borderId="0" xfId="0" applyFont="1"/>
    <xf numFmtId="0" fontId="14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7" fillId="0" borderId="0" xfId="0" applyFont="1"/>
    <xf numFmtId="0" fontId="4" fillId="0" borderId="0" xfId="0" applyFont="1"/>
    <xf numFmtId="166" fontId="7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/>
    <xf numFmtId="0" fontId="5" fillId="0" borderId="0" xfId="0" applyFont="1"/>
    <xf numFmtId="0" fontId="8" fillId="0" borderId="0" xfId="0" applyFont="1"/>
    <xf numFmtId="0" fontId="4" fillId="4" borderId="0" xfId="0" applyFont="1" applyFill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6" fontId="7" fillId="3" borderId="1" xfId="0" applyNumberFormat="1" applyFont="1" applyFill="1" applyBorder="1"/>
    <xf numFmtId="167" fontId="8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66" fontId="4" fillId="0" borderId="0" xfId="0" applyNumberFormat="1" applyFont="1"/>
    <xf numFmtId="168" fontId="7" fillId="0" borderId="0" xfId="0" applyNumberFormat="1" applyFont="1"/>
    <xf numFmtId="168" fontId="4" fillId="0" borderId="0" xfId="0" applyNumberFormat="1" applyFont="1"/>
    <xf numFmtId="167" fontId="4" fillId="0" borderId="0" xfId="0" applyNumberFormat="1" applyFont="1"/>
    <xf numFmtId="167" fontId="9" fillId="0" borderId="2" xfId="0" applyNumberFormat="1" applyFont="1" applyBorder="1"/>
    <xf numFmtId="0" fontId="4" fillId="0" borderId="0" xfId="0" applyFont="1" applyAlignment="1">
      <alignment horizontal="right"/>
    </xf>
    <xf numFmtId="169" fontId="4" fillId="0" borderId="0" xfId="0" applyNumberFormat="1" applyFont="1"/>
    <xf numFmtId="166" fontId="9" fillId="0" borderId="0" xfId="0" applyNumberFormat="1" applyFont="1"/>
    <xf numFmtId="166" fontId="8" fillId="0" borderId="0" xfId="0" applyNumberFormat="1" applyFont="1"/>
    <xf numFmtId="172" fontId="5" fillId="0" borderId="0" xfId="0" applyNumberFormat="1" applyFont="1"/>
    <xf numFmtId="168" fontId="8" fillId="0" borderId="0" xfId="0" applyNumberFormat="1" applyFont="1"/>
    <xf numFmtId="166" fontId="5" fillId="0" borderId="0" xfId="0" applyNumberFormat="1" applyFont="1"/>
    <xf numFmtId="174" fontId="4" fillId="0" borderId="0" xfId="0" applyNumberFormat="1" applyFont="1"/>
    <xf numFmtId="165" fontId="5" fillId="0" borderId="0" xfId="0" applyNumberFormat="1" applyFont="1"/>
    <xf numFmtId="167" fontId="5" fillId="0" borderId="0" xfId="0" applyNumberFormat="1" applyFont="1"/>
    <xf numFmtId="1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171" fontId="5" fillId="0" borderId="0" xfId="0" applyNumberFormat="1" applyFont="1"/>
    <xf numFmtId="1" fontId="5" fillId="4" borderId="1" xfId="0" applyNumberFormat="1" applyFont="1" applyFill="1" applyBorder="1"/>
    <xf numFmtId="1" fontId="4" fillId="0" borderId="0" xfId="0" applyNumberFormat="1" applyFont="1"/>
    <xf numFmtId="169" fontId="8" fillId="0" borderId="0" xfId="0" applyNumberFormat="1" applyFont="1"/>
    <xf numFmtId="170" fontId="8" fillId="0" borderId="0" xfId="0" applyNumberFormat="1" applyFont="1"/>
    <xf numFmtId="170" fontId="4" fillId="0" borderId="0" xfId="0" applyNumberFormat="1" applyFont="1"/>
    <xf numFmtId="172" fontId="4" fillId="0" borderId="0" xfId="0" applyNumberFormat="1" applyFont="1"/>
    <xf numFmtId="169" fontId="5" fillId="4" borderId="0" xfId="0" applyNumberFormat="1" applyFont="1" applyFill="1"/>
    <xf numFmtId="172" fontId="5" fillId="4" borderId="0" xfId="0" applyNumberFormat="1" applyFont="1" applyFill="1"/>
    <xf numFmtId="168" fontId="5" fillId="4" borderId="0" xfId="0" applyNumberFormat="1" applyFont="1" applyFill="1"/>
    <xf numFmtId="169" fontId="5" fillId="3" borderId="0" xfId="0" applyNumberFormat="1" applyFont="1" applyFill="1"/>
    <xf numFmtId="168" fontId="5" fillId="3" borderId="0" xfId="0" applyNumberFormat="1" applyFont="1" applyFill="1"/>
    <xf numFmtId="172" fontId="5" fillId="3" borderId="0" xfId="0" applyNumberFormat="1" applyFont="1" applyFill="1"/>
    <xf numFmtId="171" fontId="8" fillId="0" borderId="0" xfId="0" applyNumberFormat="1" applyFont="1"/>
    <xf numFmtId="171" fontId="4" fillId="0" borderId="0" xfId="0" applyNumberFormat="1" applyFont="1"/>
    <xf numFmtId="167" fontId="7" fillId="0" borderId="2" xfId="0" applyNumberFormat="1" applyFont="1" applyBorder="1"/>
    <xf numFmtId="168" fontId="7" fillId="0" borderId="2" xfId="0" applyNumberFormat="1" applyFont="1" applyBorder="1"/>
    <xf numFmtId="171" fontId="7" fillId="0" borderId="2" xfId="0" applyNumberFormat="1" applyFont="1" applyBorder="1"/>
    <xf numFmtId="169" fontId="7" fillId="0" borderId="2" xfId="0" applyNumberFormat="1" applyFont="1" applyBorder="1"/>
    <xf numFmtId="1" fontId="8" fillId="0" borderId="0" xfId="0" applyNumberFormat="1" applyFont="1"/>
    <xf numFmtId="169" fontId="7" fillId="0" borderId="1" xfId="0" applyNumberFormat="1" applyFont="1" applyBorder="1"/>
    <xf numFmtId="1" fontId="6" fillId="0" borderId="0" xfId="0" applyNumberFormat="1" applyFont="1"/>
    <xf numFmtId="173" fontId="5" fillId="0" borderId="0" xfId="0" applyNumberFormat="1" applyFont="1"/>
    <xf numFmtId="0" fontId="4" fillId="0" borderId="0" xfId="0" applyFont="1" applyAlignment="1">
      <alignment indent="1"/>
    </xf>
    <xf numFmtId="167" fontId="7" fillId="0" borderId="0" xfId="0" applyNumberFormat="1" applyFont="1"/>
    <xf numFmtId="167" fontId="9" fillId="0" borderId="0" xfId="0" applyNumberFormat="1" applyFont="1"/>
    <xf numFmtId="167" fontId="4" fillId="0" borderId="2" xfId="0" applyNumberFormat="1" applyFont="1" applyBorder="1"/>
    <xf numFmtId="0" fontId="7" fillId="3" borderId="0" xfId="0" applyFont="1" applyFill="1" applyAlignment="1">
      <alignment horizontal="center" wrapText="1"/>
    </xf>
    <xf numFmtId="0" fontId="4" fillId="0" borderId="0" xfId="0" applyFont="1" applyAlignment="1">
      <alignment vertical="top" wrapText="1"/>
    </xf>
    <xf numFmtId="175" fontId="4" fillId="0" borderId="0" xfId="0" applyNumberFormat="1" applyFont="1"/>
    <xf numFmtId="175" fontId="5" fillId="0" borderId="0" xfId="0" applyNumberFormat="1" applyFont="1"/>
    <xf numFmtId="176" fontId="4" fillId="0" borderId="0" xfId="0" applyNumberFormat="1" applyFont="1"/>
    <xf numFmtId="176" fontId="5" fillId="0" borderId="0" xfId="0" applyNumberFormat="1" applyFont="1"/>
    <xf numFmtId="0" fontId="7" fillId="0" borderId="1" xfId="0" applyFont="1" applyBorder="1"/>
    <xf numFmtId="0" fontId="7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4" fillId="0" borderId="0" xfId="0" applyFont="1"/>
    <xf numFmtId="177" fontId="15" fillId="0" borderId="0" xfId="0" applyNumberFormat="1" applyFont="1"/>
    <xf numFmtId="10" fontId="15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Football field: value per share ($)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Summary!$U$6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Summary!$T$7:$T$14</c:f>
              <c:strCache>
                <c:ptCount val="8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revenue x margin sensitivity</c:v>
                </c:pt>
                <c:pt idx="4">
                  <c:v>DCF: scenario range</c:v>
                </c:pt>
                <c:pt idx="5">
                  <c:v>Damodaran June 2026 value</c:v>
                </c:pt>
                <c:pt idx="6">
                  <c:v>DCF base case</c:v>
                </c:pt>
                <c:pt idx="7">
                  <c:v>Current share price</c:v>
                </c:pt>
              </c:strCache>
            </c:strRef>
          </c:cat>
          <c:val>
            <c:numRef>
              <c:f>Summary!$U$7:$U$14</c:f>
              <c:numCache>
                <c:formatCode>\$#,##0.00_);\(\$#,##0.00\)</c:formatCode>
                <c:ptCount val="8"/>
                <c:pt idx="0">
                  <c:v>104.83</c:v>
                </c:pt>
                <c:pt idx="1">
                  <c:v>221.42</c:v>
                </c:pt>
                <c:pt idx="2">
                  <c:v>58.574212161297694</c:v>
                </c:pt>
                <c:pt idx="3">
                  <c:v>46.487603378638497</c:v>
                </c:pt>
                <c:pt idx="4">
                  <c:v>62.5776508142254</c:v>
                </c:pt>
                <c:pt idx="5">
                  <c:v>96.83</c:v>
                </c:pt>
                <c:pt idx="6">
                  <c:v>80.404733498186744</c:v>
                </c:pt>
                <c:pt idx="7">
                  <c:v>147.68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8-4F58-8D58-44398BE22FAF}"/>
            </c:ext>
          </c:extLst>
        </c:ser>
        <c:ser>
          <c:idx val="1"/>
          <c:order val="1"/>
          <c:tx>
            <c:strRef>
              <c:f>Summary!$V$6</c:f>
              <c:strCache>
                <c:ptCount val="1"/>
                <c:pt idx="0">
                  <c:v>High - low</c:v>
                </c:pt>
              </c:strCache>
            </c:strRef>
          </c:tx>
          <c:spPr>
            <a:solidFill>
              <a:srgbClr val="13315C"/>
            </a:solidFill>
            <a:ln>
              <a:prstDash val="solid"/>
            </a:ln>
          </c:spPr>
          <c:invertIfNegative val="1"/>
          <c:cat>
            <c:strRef>
              <c:f>Summary!$T$7:$T$14</c:f>
              <c:strCache>
                <c:ptCount val="8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revenue x margin sensitivity</c:v>
                </c:pt>
                <c:pt idx="4">
                  <c:v>DCF: scenario range</c:v>
                </c:pt>
                <c:pt idx="5">
                  <c:v>Damodaran June 2026 value</c:v>
                </c:pt>
                <c:pt idx="6">
                  <c:v>DCF base case</c:v>
                </c:pt>
                <c:pt idx="7">
                  <c:v>Current share price</c:v>
                </c:pt>
              </c:strCache>
            </c:strRef>
          </c:cat>
          <c:val>
            <c:numRef>
              <c:f>Summary!$V$7:$V$14</c:f>
              <c:numCache>
                <c:formatCode>\$#,##0.00_);\(\$#,##0.00\)</c:formatCode>
                <c:ptCount val="8"/>
                <c:pt idx="0">
                  <c:v>120.80999999999999</c:v>
                </c:pt>
                <c:pt idx="1">
                  <c:v>2</c:v>
                </c:pt>
                <c:pt idx="2">
                  <c:v>64.20260184157344</c:v>
                </c:pt>
                <c:pt idx="3">
                  <c:v>152.81736695447643</c:v>
                </c:pt>
                <c:pt idx="4">
                  <c:v>37.654165367922722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E8-4F58-8D58-44398BE22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Value walk: June 2026 to September 2026 ($ per share)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Summary!$U$18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Summary!$T$19:$T$24</c:f>
              <c:strCache>
                <c:ptCount val="6"/>
                <c:pt idx="0">
                  <c:v>June 2026</c:v>
                </c:pt>
                <c:pt idx="1">
                  <c:v>Roll-forward</c:v>
                </c:pt>
                <c:pt idx="2">
                  <c:v>Riskfree</c:v>
                </c:pt>
                <c:pt idx="3">
                  <c:v>Beta weights</c:v>
                </c:pt>
                <c:pt idx="4">
                  <c:v>Country ERPs</c:v>
                </c:pt>
                <c:pt idx="5">
                  <c:v>Sept 2026</c:v>
                </c:pt>
              </c:strCache>
            </c:strRef>
          </c:cat>
          <c:val>
            <c:numRef>
              <c:f>Summary!$U$19:$U$24</c:f>
              <c:numCache>
                <c:formatCode>\$#,##0.00_);\(\$#,##0.00\)</c:formatCode>
                <c:ptCount val="6"/>
                <c:pt idx="1">
                  <c:v>97.7667</c:v>
                </c:pt>
                <c:pt idx="2">
                  <c:v>88.777100000000004</c:v>
                </c:pt>
                <c:pt idx="3">
                  <c:v>81.234300000000005</c:v>
                </c:pt>
                <c:pt idx="4">
                  <c:v>81.234300000000005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D-4D31-B796-FF4C5E5FF3FB}"/>
            </c:ext>
          </c:extLst>
        </c:ser>
        <c:ser>
          <c:idx val="1"/>
          <c:order val="1"/>
          <c:tx>
            <c:strRef>
              <c:f>Summary!$V$18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cat>
            <c:strRef>
              <c:f>Summary!$T$19:$T$24</c:f>
              <c:strCache>
                <c:ptCount val="6"/>
                <c:pt idx="0">
                  <c:v>June 2026</c:v>
                </c:pt>
                <c:pt idx="1">
                  <c:v>Roll-forward</c:v>
                </c:pt>
                <c:pt idx="2">
                  <c:v>Riskfree</c:v>
                </c:pt>
                <c:pt idx="3">
                  <c:v>Beta weights</c:v>
                </c:pt>
                <c:pt idx="4">
                  <c:v>Country ERPs</c:v>
                </c:pt>
                <c:pt idx="5">
                  <c:v>Sept 2026</c:v>
                </c:pt>
              </c:strCache>
            </c:strRef>
          </c:cat>
          <c:val>
            <c:numRef>
              <c:f>Summary!$V$19:$V$24</c:f>
              <c:numCache>
                <c:formatCode>\$#,##0.00_);\(\$#,##0.00\)</c:formatCode>
                <c:ptCount val="6"/>
                <c:pt idx="1">
                  <c:v>6.0999999999992838E-2</c:v>
                </c:pt>
                <c:pt idx="2">
                  <c:v>8.9895999999999958</c:v>
                </c:pt>
                <c:pt idx="3">
                  <c:v>7.5427999999999997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0D-4D31-B796-FF4C5E5FF3FB}"/>
            </c:ext>
          </c:extLst>
        </c:ser>
        <c:ser>
          <c:idx val="2"/>
          <c:order val="2"/>
          <c:tx>
            <c:strRef>
              <c:f>Summary!$W$18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4F8A10"/>
            </a:solidFill>
            <a:ln>
              <a:prstDash val="solid"/>
            </a:ln>
          </c:spPr>
          <c:invertIfNegative val="1"/>
          <c:cat>
            <c:strRef>
              <c:f>Summary!$T$19:$T$24</c:f>
              <c:strCache>
                <c:ptCount val="6"/>
                <c:pt idx="0">
                  <c:v>June 2026</c:v>
                </c:pt>
                <c:pt idx="1">
                  <c:v>Roll-forward</c:v>
                </c:pt>
                <c:pt idx="2">
                  <c:v>Riskfree</c:v>
                </c:pt>
                <c:pt idx="3">
                  <c:v>Beta weights</c:v>
                </c:pt>
                <c:pt idx="4">
                  <c:v>Country ERPs</c:v>
                </c:pt>
                <c:pt idx="5">
                  <c:v>Sept 2026</c:v>
                </c:pt>
              </c:strCache>
            </c:strRef>
          </c:cat>
          <c:val>
            <c:numRef>
              <c:f>Summary!$W$19:$W$24</c:f>
              <c:numCache>
                <c:formatCode>\$#,##0.00_);\(\$#,##0.00\)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0.17040000000000077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0D-4D31-B796-FF4C5E5FF3FB}"/>
            </c:ext>
          </c:extLst>
        </c:ser>
        <c:ser>
          <c:idx val="3"/>
          <c:order val="3"/>
          <c:tx>
            <c:strRef>
              <c:f>Summary!$X$18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B2545"/>
            </a:solidFill>
            <a:ln>
              <a:prstDash val="solid"/>
            </a:ln>
          </c:spPr>
          <c:invertIfNegative val="1"/>
          <c:cat>
            <c:strRef>
              <c:f>Summary!$T$19:$T$24</c:f>
              <c:strCache>
                <c:ptCount val="6"/>
                <c:pt idx="0">
                  <c:v>June 2026</c:v>
                </c:pt>
                <c:pt idx="1">
                  <c:v>Roll-forward</c:v>
                </c:pt>
                <c:pt idx="2">
                  <c:v>Riskfree</c:v>
                </c:pt>
                <c:pt idx="3">
                  <c:v>Beta weights</c:v>
                </c:pt>
                <c:pt idx="4">
                  <c:v>Country ERPs</c:v>
                </c:pt>
                <c:pt idx="5">
                  <c:v>Sept 2026</c:v>
                </c:pt>
              </c:strCache>
            </c:strRef>
          </c:cat>
          <c:val>
            <c:numRef>
              <c:f>Summary!$X$19:$X$24</c:f>
              <c:numCache>
                <c:formatCode>General</c:formatCode>
                <c:ptCount val="6"/>
                <c:pt idx="0" formatCode="\$#,##0.00_);\(\$#,##0.00\)">
                  <c:v>97.827699999999993</c:v>
                </c:pt>
                <c:pt idx="5" formatCode="\$#,##0.00_);\(\$#,##0.00\)">
                  <c:v>81.404700000000005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30D-4D31-B796-FF4C5E5F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630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63000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swathdamodaran.blogspot.com/2026/04/to-trillion-dollars-and-beyond-spacex.html" TargetMode="External"/><Relationship Id="rId3" Type="http://schemas.openxmlformats.org/officeDocument/2006/relationships/hyperlink" Target="https://stockanalysis.com/stocks/spcx/" TargetMode="External"/><Relationship Id="rId7" Type="http://schemas.openxmlformats.org/officeDocument/2006/relationships/hyperlink" Target="https://aswathdamodaran.blogspot.com/2026/06/a-weeks-ago-i-assessed-value-of-spacex.html" TargetMode="External"/><Relationship Id="rId2" Type="http://schemas.openxmlformats.org/officeDocument/2006/relationships/hyperlink" Target="https://www.sec.gov/Archives/edgar/data/1181412/000162828026052515/earningsreleaseq22608042.htm" TargetMode="External"/><Relationship Id="rId1" Type="http://schemas.openxmlformats.org/officeDocument/2006/relationships/hyperlink" Target="https://www.sec.gov/Archives/edgar/data/0001181412/000162828026052535/spcx-20260630.htm" TargetMode="External"/><Relationship Id="rId6" Type="http://schemas.openxmlformats.org/officeDocument/2006/relationships/hyperlink" Target="https://pages.stern.nyu.edu/~adamodar/pc/blog/SpaceX2026IPOUpdated.xlsx" TargetMode="External"/><Relationship Id="rId5" Type="http://schemas.openxmlformats.org/officeDocument/2006/relationships/hyperlink" Target="https://www.cnbc.com/2026/08/04/spacex-spcx-earnings-live-updates-q2-2026.html" TargetMode="External"/><Relationship Id="rId4" Type="http://schemas.openxmlformats.org/officeDocument/2006/relationships/hyperlink" Target="https://www.cnbc.com/2026/09/25/treasury-yields-bonds-deb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4"/>
  <sheetViews>
    <sheetView showGridLines="0" tabSelected="1" zoomScale="85" workbookViewId="0"/>
  </sheetViews>
  <sheetFormatPr defaultRowHeight="14.5" x14ac:dyDescent="0.35"/>
  <cols>
    <col min="1" max="1" width="3" customWidth="1"/>
    <col min="2" max="2" width="4" customWidth="1"/>
    <col min="3" max="3" width="38" customWidth="1"/>
    <col min="4" max="4" width="70" customWidth="1"/>
  </cols>
  <sheetData>
    <row r="1" spans="1:4" x14ac:dyDescent="0.35">
      <c r="A1" s="1"/>
      <c r="B1" s="1"/>
      <c r="C1" s="1"/>
      <c r="D1" s="1"/>
    </row>
    <row r="2" spans="1:4" x14ac:dyDescent="0.35">
      <c r="A2" s="1"/>
      <c r="B2" s="2"/>
      <c r="C2" s="2"/>
      <c r="D2" s="2"/>
    </row>
    <row r="3" spans="1:4" ht="25" x14ac:dyDescent="0.5">
      <c r="A3" s="1"/>
      <c r="B3" s="2"/>
      <c r="C3" s="3" t="s">
        <v>0</v>
      </c>
      <c r="D3" s="2"/>
    </row>
    <row r="4" spans="1:4" x14ac:dyDescent="0.35">
      <c r="A4" s="1"/>
      <c r="B4" s="2"/>
      <c r="C4" s="2"/>
      <c r="D4" s="2"/>
    </row>
    <row r="5" spans="1:4" ht="16.5" x14ac:dyDescent="0.35">
      <c r="A5" s="1"/>
      <c r="B5" s="2"/>
      <c r="C5" s="4" t="s">
        <v>1</v>
      </c>
      <c r="D5" s="2"/>
    </row>
    <row r="6" spans="1:4" x14ac:dyDescent="0.35">
      <c r="A6" s="1"/>
      <c r="B6" s="2"/>
      <c r="C6" s="2"/>
      <c r="D6" s="2"/>
    </row>
    <row r="7" spans="1:4" x14ac:dyDescent="0.35">
      <c r="A7" s="1"/>
      <c r="B7" s="2"/>
      <c r="C7" s="5" t="s">
        <v>2</v>
      </c>
      <c r="D7" s="2"/>
    </row>
    <row r="8" spans="1:4" x14ac:dyDescent="0.35">
      <c r="A8" s="1"/>
      <c r="B8" s="2"/>
      <c r="C8" s="2"/>
      <c r="D8" s="2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6" t="s">
        <v>3</v>
      </c>
      <c r="D10" s="1"/>
    </row>
    <row r="11" spans="1:4" x14ac:dyDescent="0.35">
      <c r="A11" s="1"/>
      <c r="B11" s="1"/>
      <c r="C11" s="7" t="s">
        <v>4</v>
      </c>
      <c r="D11" s="8">
        <f>ValuePerShare</f>
        <v>81.404733498186744</v>
      </c>
    </row>
    <row r="12" spans="1:4" x14ac:dyDescent="0.35">
      <c r="A12" s="1"/>
      <c r="B12" s="1"/>
      <c r="C12" s="7" t="s">
        <v>5</v>
      </c>
      <c r="D12" s="9">
        <f>SharePrice</f>
        <v>148.68</v>
      </c>
    </row>
    <row r="13" spans="1:4" x14ac:dyDescent="0.35">
      <c r="A13" s="1"/>
      <c r="B13" s="1"/>
      <c r="C13" s="7" t="s">
        <v>6</v>
      </c>
      <c r="D13" s="10">
        <f>DCF!C51</f>
        <v>1.8264294176862799</v>
      </c>
    </row>
    <row r="14" spans="1:4" x14ac:dyDescent="0.35">
      <c r="A14" s="1"/>
      <c r="B14" s="1"/>
      <c r="C14" s="7" t="s">
        <v>7</v>
      </c>
      <c r="D14" s="11" t="str">
        <f>IF(AllChecksPass,"All checks pass","CHECK FAILURES - see Checks tab")</f>
        <v>All checks pass</v>
      </c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6" t="s">
        <v>8</v>
      </c>
      <c r="D16" s="1"/>
    </row>
    <row r="17" spans="1:4" x14ac:dyDescent="0.35">
      <c r="A17" s="1"/>
      <c r="B17" s="1"/>
      <c r="C17" s="12" t="s">
        <v>9</v>
      </c>
      <c r="D17" s="7" t="s">
        <v>10</v>
      </c>
    </row>
    <row r="18" spans="1:4" x14ac:dyDescent="0.35">
      <c r="A18" s="1"/>
      <c r="B18" s="1"/>
      <c r="C18" s="12" t="s">
        <v>11</v>
      </c>
      <c r="D18" s="7" t="s">
        <v>12</v>
      </c>
    </row>
    <row r="19" spans="1:4" x14ac:dyDescent="0.35">
      <c r="A19" s="1"/>
      <c r="B19" s="1"/>
      <c r="C19" s="12" t="s">
        <v>13</v>
      </c>
      <c r="D19" s="7" t="s">
        <v>14</v>
      </c>
    </row>
    <row r="20" spans="1:4" x14ac:dyDescent="0.35">
      <c r="A20" s="1"/>
      <c r="B20" s="1"/>
      <c r="C20" s="12" t="s">
        <v>15</v>
      </c>
      <c r="D20" s="7" t="s">
        <v>16</v>
      </c>
    </row>
    <row r="21" spans="1:4" x14ac:dyDescent="0.35">
      <c r="A21" s="1"/>
      <c r="B21" s="1"/>
      <c r="C21" s="12" t="s">
        <v>17</v>
      </c>
      <c r="D21" s="7" t="s">
        <v>18</v>
      </c>
    </row>
    <row r="22" spans="1:4" x14ac:dyDescent="0.35">
      <c r="A22" s="1"/>
      <c r="B22" s="1"/>
      <c r="C22" s="12" t="s">
        <v>19</v>
      </c>
      <c r="D22" s="7" t="s">
        <v>20</v>
      </c>
    </row>
    <row r="23" spans="1:4" x14ac:dyDescent="0.35">
      <c r="A23" s="1"/>
      <c r="B23" s="1"/>
      <c r="C23" s="12" t="s">
        <v>21</v>
      </c>
      <c r="D23" s="7" t="s">
        <v>22</v>
      </c>
    </row>
    <row r="24" spans="1:4" x14ac:dyDescent="0.35">
      <c r="A24" s="1"/>
      <c r="B24" s="1"/>
      <c r="C24" s="12" t="s">
        <v>23</v>
      </c>
      <c r="D24" s="7" t="s">
        <v>24</v>
      </c>
    </row>
    <row r="25" spans="1:4" x14ac:dyDescent="0.35">
      <c r="A25" s="1"/>
      <c r="B25" s="1"/>
      <c r="C25" s="12" t="s">
        <v>25</v>
      </c>
      <c r="D25" s="7" t="s">
        <v>26</v>
      </c>
    </row>
    <row r="26" spans="1:4" x14ac:dyDescent="0.35">
      <c r="A26" s="1"/>
      <c r="B26" s="1"/>
      <c r="C26" s="12" t="s">
        <v>27</v>
      </c>
      <c r="D26" s="7" t="s">
        <v>28</v>
      </c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6" t="s">
        <v>29</v>
      </c>
      <c r="D28" s="1"/>
    </row>
    <row r="29" spans="1:4" x14ac:dyDescent="0.35">
      <c r="A29" s="1"/>
      <c r="B29" s="1"/>
      <c r="C29" s="13" t="s">
        <v>30</v>
      </c>
      <c r="D29" s="1"/>
    </row>
    <row r="30" spans="1:4" x14ac:dyDescent="0.35">
      <c r="A30" s="1"/>
      <c r="B30" s="1"/>
      <c r="C30" s="7" t="s">
        <v>31</v>
      </c>
      <c r="D30" s="1"/>
    </row>
    <row r="31" spans="1:4" x14ac:dyDescent="0.35">
      <c r="A31" s="1"/>
      <c r="B31" s="1"/>
      <c r="C31" s="14" t="s">
        <v>32</v>
      </c>
      <c r="D31" s="1"/>
    </row>
    <row r="32" spans="1:4" x14ac:dyDescent="0.35">
      <c r="A32" s="1"/>
      <c r="B32" s="1"/>
      <c r="C32" s="15" t="s">
        <v>33</v>
      </c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6" t="s">
        <v>34</v>
      </c>
      <c r="D34" s="1"/>
    </row>
  </sheetData>
  <hyperlinks>
    <hyperlink ref="C17" location="'Summary'!A1" display="Summary" xr:uid="{00000000-0004-0000-0000-000000000000}"/>
    <hyperlink ref="C18" location="'Inputs'!A1" display="Inputs" xr:uid="{00000000-0004-0000-0000-000001000000}"/>
    <hyperlink ref="C19" location="'Scenarios'!A1" display="Scenarios" xr:uid="{00000000-0004-0000-0000-000002000000}"/>
    <hyperlink ref="C20" location="'Sensitivity'!A1" display="Sensitivity" xr:uid="{00000000-0004-0000-0000-000003000000}"/>
    <hyperlink ref="C21" location="'WACC'!A1" display="WACC" xr:uid="{00000000-0004-0000-0000-000004000000}"/>
    <hyperlink ref="C22" location="'Segments'!A1" display="Segments" xr:uid="{00000000-0004-0000-0000-000005000000}"/>
    <hyperlink ref="C23" location="'DCF'!A1" display="DCF" xr:uid="{00000000-0004-0000-0000-000006000000}"/>
    <hyperlink ref="C24" location="'Diagnostics'!A1" display="Diagnostics" xr:uid="{00000000-0004-0000-0000-000007000000}"/>
    <hyperlink ref="C25" location="'Checks'!A1" display="Checks" xr:uid="{00000000-0004-0000-0000-000008000000}"/>
    <hyperlink ref="C26" location="'Sources'!A1" display="Sources" xr:uid="{00000000-0004-0000-0000-000009000000}"/>
  </hyperlinks>
  <printOptions horizontalCentered="1"/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3"/>
  <sheetViews>
    <sheetView showGridLines="0" zoomScale="85" workbookViewId="0"/>
  </sheetViews>
  <sheetFormatPr defaultRowHeight="14.5" x14ac:dyDescent="0.35"/>
  <cols>
    <col min="1" max="1" width="2" customWidth="1"/>
    <col min="2" max="2" width="54" customWidth="1"/>
    <col min="3" max="3" width="14" customWidth="1"/>
    <col min="4" max="4" width="12" customWidth="1"/>
    <col min="5" max="5" width="3" customWidth="1"/>
    <col min="6" max="6" width="40" customWidth="1"/>
    <col min="7" max="7" width="14" customWidth="1"/>
    <col min="8" max="8" width="3" customWidth="1"/>
    <col min="20" max="20" width="34" customWidth="1"/>
    <col min="21" max="24" width="11" customWidth="1"/>
  </cols>
  <sheetData>
    <row r="1" spans="1:2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x14ac:dyDescent="0.4">
      <c r="A2" s="1"/>
      <c r="B2" s="17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18" t="s">
        <v>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/>
      <c r="B5" s="19" t="s">
        <v>37</v>
      </c>
      <c r="C5" s="2"/>
      <c r="D5" s="2"/>
      <c r="E5" s="1"/>
      <c r="F5" s="19" t="s">
        <v>38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9" t="s">
        <v>39</v>
      </c>
      <c r="U5" s="2"/>
      <c r="V5" s="2"/>
      <c r="W5" s="2"/>
      <c r="X5" s="1"/>
    </row>
    <row r="6" spans="1:24" x14ac:dyDescent="0.35">
      <c r="A6" s="1"/>
      <c r="B6" s="6" t="s">
        <v>40</v>
      </c>
      <c r="C6" s="20">
        <f>ValuePerShare</f>
        <v>81.404733498186744</v>
      </c>
      <c r="D6" s="1"/>
      <c r="E6" s="1"/>
      <c r="F6" s="7" t="s">
        <v>41</v>
      </c>
      <c r="G6" s="21">
        <f>DCF!C39</f>
        <v>1012414.2879317283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2" t="s">
        <v>42</v>
      </c>
      <c r="U6" s="22" t="s">
        <v>43</v>
      </c>
      <c r="V6" s="22" t="s">
        <v>44</v>
      </c>
      <c r="W6" s="22" t="s">
        <v>45</v>
      </c>
      <c r="X6" s="1"/>
    </row>
    <row r="7" spans="1:24" x14ac:dyDescent="0.35">
      <c r="A7" s="1"/>
      <c r="B7" s="7" t="s">
        <v>46</v>
      </c>
      <c r="C7" s="23">
        <f>SharePrice</f>
        <v>148.68</v>
      </c>
      <c r="D7" s="1"/>
      <c r="E7" s="1"/>
      <c r="F7" s="7" t="s">
        <v>47</v>
      </c>
      <c r="G7" s="21">
        <f>-DCF!C40</f>
        <v>-39364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7" t="s">
        <v>48</v>
      </c>
      <c r="U7" s="23">
        <f>Inputs!$C$9</f>
        <v>104.83</v>
      </c>
      <c r="V7" s="23">
        <f t="shared" ref="V7:V14" si="0">W7-U7</f>
        <v>120.80999999999999</v>
      </c>
      <c r="W7" s="23">
        <f>Inputs!$C$10</f>
        <v>225.64</v>
      </c>
      <c r="X7" s="1"/>
    </row>
    <row r="8" spans="1:24" x14ac:dyDescent="0.35">
      <c r="A8" s="1"/>
      <c r="B8" s="6" t="s">
        <v>49</v>
      </c>
      <c r="C8" s="24">
        <f>DCF!C52</f>
        <v>-0.45248363264604019</v>
      </c>
      <c r="D8" s="1"/>
      <c r="E8" s="1"/>
      <c r="F8" s="7" t="s">
        <v>50</v>
      </c>
      <c r="G8" s="21">
        <f>-DCF!C41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7" t="s">
        <v>51</v>
      </c>
      <c r="U8" s="23">
        <f>Inputs!$C$11-1</f>
        <v>221.42</v>
      </c>
      <c r="V8" s="23">
        <f t="shared" si="0"/>
        <v>2</v>
      </c>
      <c r="W8" s="23">
        <f>Inputs!$C$11+1</f>
        <v>223.42</v>
      </c>
      <c r="X8" s="1"/>
    </row>
    <row r="9" spans="1:24" x14ac:dyDescent="0.35">
      <c r="A9" s="1"/>
      <c r="B9" s="7" t="s">
        <v>6</v>
      </c>
      <c r="C9" s="25">
        <f>DCF!C51</f>
        <v>1.8264294176862799</v>
      </c>
      <c r="D9" s="1"/>
      <c r="E9" s="1"/>
      <c r="F9" s="7" t="s">
        <v>52</v>
      </c>
      <c r="G9" s="21">
        <f>DCF!C42</f>
        <v>100009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7" t="s">
        <v>53</v>
      </c>
      <c r="U9" s="23">
        <f>MIN(Sensitivity!C14:G22)</f>
        <v>58.574212161297694</v>
      </c>
      <c r="V9" s="23">
        <f t="shared" si="0"/>
        <v>64.20260184157344</v>
      </c>
      <c r="W9" s="23">
        <f>MAX(Sensitivity!C14:G22)</f>
        <v>122.77681400287113</v>
      </c>
      <c r="X9" s="1"/>
    </row>
    <row r="10" spans="1:24" x14ac:dyDescent="0.35">
      <c r="A10" s="1"/>
      <c r="B10" s="7" t="s">
        <v>54</v>
      </c>
      <c r="C10" s="21">
        <f>SharePrice*Inputs!$C$8</f>
        <v>1959867.0504000003</v>
      </c>
      <c r="D10" s="1"/>
      <c r="E10" s="1"/>
      <c r="F10" s="7" t="s">
        <v>55</v>
      </c>
      <c r="G10" s="21">
        <f>DCF!C43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7" t="s">
        <v>56</v>
      </c>
      <c r="U10" s="23">
        <f>MIN(Sensitivity!C28:G34)</f>
        <v>46.487603378638497</v>
      </c>
      <c r="V10" s="23">
        <f t="shared" si="0"/>
        <v>152.81736695447643</v>
      </c>
      <c r="W10" s="23">
        <f>MAX(Sensitivity!C28:G34)</f>
        <v>199.30497033311491</v>
      </c>
      <c r="X10" s="1"/>
    </row>
    <row r="11" spans="1:24" x14ac:dyDescent="0.35">
      <c r="A11" s="1"/>
      <c r="B11" s="7" t="s">
        <v>57</v>
      </c>
      <c r="C11" s="21">
        <f>C10+Inputs!$C$16-Inputs!$C$15</f>
        <v>1899222.0504000003</v>
      </c>
      <c r="D11" s="1"/>
      <c r="E11" s="1"/>
      <c r="F11" s="7" t="s">
        <v>58</v>
      </c>
      <c r="G11" s="21">
        <f>DCF!C44</f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7" t="s">
        <v>59</v>
      </c>
      <c r="U11" s="23">
        <f>MIN(Scenarios!K8:K19)</f>
        <v>62.5776508142254</v>
      </c>
      <c r="V11" s="23">
        <f t="shared" si="0"/>
        <v>37.654165367922722</v>
      </c>
      <c r="W11" s="23">
        <f>MAX(Scenarios!K8:K19)</f>
        <v>100.23181618214812</v>
      </c>
      <c r="X11" s="1"/>
    </row>
    <row r="12" spans="1:24" x14ac:dyDescent="0.35">
      <c r="A12" s="1"/>
      <c r="B12" s="7" t="s">
        <v>60</v>
      </c>
      <c r="C12" s="26">
        <f>OperatingAssets</f>
        <v>1012414.2879317283</v>
      </c>
      <c r="D12" s="1"/>
      <c r="E12" s="1"/>
      <c r="F12" s="7" t="s">
        <v>61</v>
      </c>
      <c r="G12" s="21">
        <f>-DCF!C46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7" t="s">
        <v>62</v>
      </c>
      <c r="U12" s="23">
        <f>Inputs!$C$12-1</f>
        <v>96.83</v>
      </c>
      <c r="V12" s="23">
        <f t="shared" si="0"/>
        <v>2</v>
      </c>
      <c r="W12" s="23">
        <f>Inputs!$C$12+1</f>
        <v>98.83</v>
      </c>
      <c r="X12" s="1"/>
    </row>
    <row r="13" spans="1:24" x14ac:dyDescent="0.35">
      <c r="A13" s="1"/>
      <c r="B13" s="7" t="s">
        <v>63</v>
      </c>
      <c r="C13" s="26">
        <f>DCF!C47</f>
        <v>1073059.2879317282</v>
      </c>
      <c r="D13" s="1"/>
      <c r="E13" s="1"/>
      <c r="F13" s="6" t="s">
        <v>64</v>
      </c>
      <c r="G13" s="27">
        <f>DCF!C47</f>
        <v>1073059.2879317282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7" t="s">
        <v>65</v>
      </c>
      <c r="U13" s="23">
        <f>ValuePerShare-1</f>
        <v>80.404733498186744</v>
      </c>
      <c r="V13" s="23">
        <f t="shared" si="0"/>
        <v>2</v>
      </c>
      <c r="W13" s="23">
        <f>ValuePerShare+1</f>
        <v>82.404733498186744</v>
      </c>
      <c r="X13" s="1"/>
    </row>
    <row r="14" spans="1:24" x14ac:dyDescent="0.35">
      <c r="A14" s="1"/>
      <c r="B14" s="7" t="s">
        <v>66</v>
      </c>
      <c r="C14" s="28" t="str">
        <f>TEXT(DCF!C27,"0.00%")&amp;" / "&amp;TEXT(DCF!C28,"0.00%")</f>
        <v>10.42% / 8.86%</v>
      </c>
      <c r="D14" s="1"/>
      <c r="E14" s="1"/>
      <c r="F14" s="7" t="s">
        <v>67</v>
      </c>
      <c r="G14" s="21">
        <f>DCF!C48</f>
        <v>13181.78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7" t="s">
        <v>68</v>
      </c>
      <c r="U14" s="23">
        <f>SharePrice-1</f>
        <v>147.68</v>
      </c>
      <c r="V14" s="23">
        <f t="shared" si="0"/>
        <v>2</v>
      </c>
      <c r="W14" s="23">
        <f>SharePrice+1</f>
        <v>149.68</v>
      </c>
      <c r="X14" s="1"/>
    </row>
    <row r="15" spans="1:24" x14ac:dyDescent="0.35">
      <c r="A15" s="1"/>
      <c r="B15" s="7" t="s">
        <v>69</v>
      </c>
      <c r="C15" s="29">
        <f>DCF!C31</f>
        <v>5.1700000000000003E-2</v>
      </c>
      <c r="D15" s="1"/>
      <c r="E15" s="1"/>
      <c r="F15" s="6" t="s">
        <v>70</v>
      </c>
      <c r="G15" s="30">
        <f>DCF!C49</f>
        <v>81.404733498186744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7" t="s">
        <v>71</v>
      </c>
      <c r="C16" s="26">
        <f>DCF!M7</f>
        <v>420000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7" t="s">
        <v>72</v>
      </c>
      <c r="C17" s="31">
        <f>Inputs!$C$12</f>
        <v>97.83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9" t="s">
        <v>73</v>
      </c>
      <c r="U17" s="2"/>
      <c r="V17" s="2"/>
      <c r="W17" s="2"/>
      <c r="X17" s="2"/>
    </row>
    <row r="18" spans="1:24" x14ac:dyDescent="0.35">
      <c r="A18" s="1"/>
      <c r="B18" s="7" t="s">
        <v>74</v>
      </c>
      <c r="C18" s="32">
        <v>1.893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2" t="s">
        <v>75</v>
      </c>
      <c r="U18" s="22" t="s">
        <v>76</v>
      </c>
      <c r="V18" s="22" t="s">
        <v>77</v>
      </c>
      <c r="W18" s="22" t="s">
        <v>78</v>
      </c>
      <c r="X18" s="22" t="s">
        <v>79</v>
      </c>
    </row>
    <row r="19" spans="1:24" x14ac:dyDescent="0.35">
      <c r="A19" s="1"/>
      <c r="B19" s="16" t="s">
        <v>80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7" t="s">
        <v>81</v>
      </c>
      <c r="U19" s="1"/>
      <c r="V19" s="1"/>
      <c r="W19" s="1"/>
      <c r="X19" s="23">
        <f>C39</f>
        <v>97.827699999999993</v>
      </c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7" t="s">
        <v>82</v>
      </c>
      <c r="U20" s="23">
        <f>MIN(C40,C39)</f>
        <v>97.7667</v>
      </c>
      <c r="V20" s="23">
        <f>MAX(C39-C40,0)</f>
        <v>6.0999999999992838E-2</v>
      </c>
      <c r="W20" s="23">
        <f>MAX(C40-C39,0)</f>
        <v>0</v>
      </c>
      <c r="X20" s="1"/>
    </row>
    <row r="21" spans="1:24" x14ac:dyDescent="0.35">
      <c r="A21" s="1"/>
      <c r="B21" s="19" t="s">
        <v>83</v>
      </c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7" t="s">
        <v>84</v>
      </c>
      <c r="U21" s="23">
        <f>MIN(C41,C40)</f>
        <v>88.777100000000004</v>
      </c>
      <c r="V21" s="23">
        <f>MAX(C40-C41,0)</f>
        <v>8.9895999999999958</v>
      </c>
      <c r="W21" s="23">
        <f>MAX(C41-C40,0)</f>
        <v>0</v>
      </c>
      <c r="X21" s="1"/>
    </row>
    <row r="22" spans="1:24" x14ac:dyDescent="0.35">
      <c r="A22" s="1"/>
      <c r="B22" s="22" t="s">
        <v>85</v>
      </c>
      <c r="C22" s="22" t="s">
        <v>86</v>
      </c>
      <c r="D22" s="22" t="s">
        <v>87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7" t="s">
        <v>88</v>
      </c>
      <c r="U22" s="23">
        <f>MIN(C42,C41)</f>
        <v>81.234300000000005</v>
      </c>
      <c r="V22" s="23">
        <f>MAX(C41-C42,0)</f>
        <v>7.5427999999999997</v>
      </c>
      <c r="W22" s="23">
        <f>MAX(C42-C41,0)</f>
        <v>0</v>
      </c>
      <c r="X22" s="1"/>
    </row>
    <row r="23" spans="1:24" x14ac:dyDescent="0.35">
      <c r="A23" s="1"/>
      <c r="B23" s="14" t="str">
        <f>Scenarios!C8</f>
        <v>Base case</v>
      </c>
      <c r="C23" s="31">
        <f>Scenarios!K8</f>
        <v>81.404733498186744</v>
      </c>
      <c r="D23" s="33">
        <f>Scenarios!L8</f>
        <v>-0.45248363264604019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7" t="s">
        <v>89</v>
      </c>
      <c r="U23" s="23">
        <f>MIN(C43,C42)</f>
        <v>81.234300000000005</v>
      </c>
      <c r="V23" s="23">
        <f>MAX(C42-C43,0)</f>
        <v>0</v>
      </c>
      <c r="W23" s="23">
        <f>MAX(C43-C42,0)</f>
        <v>0.17040000000000077</v>
      </c>
      <c r="X23" s="1"/>
    </row>
    <row r="24" spans="1:24" x14ac:dyDescent="0.35">
      <c r="A24" s="1"/>
      <c r="B24" s="14" t="str">
        <f>Scenarios!C9</f>
        <v>June-model beta weights (xAI at $100m, stale)</v>
      </c>
      <c r="C24" s="31">
        <f>Scenarios!K9</f>
        <v>88.913607350198916</v>
      </c>
      <c r="D24" s="33">
        <f>Scenarios!L9</f>
        <v>-0.40198004203525084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7" t="s">
        <v>90</v>
      </c>
      <c r="U24" s="1"/>
      <c r="V24" s="1"/>
      <c r="W24" s="1"/>
      <c r="X24" s="23">
        <f>C43</f>
        <v>81.404700000000005</v>
      </c>
    </row>
    <row r="25" spans="1:24" x14ac:dyDescent="0.35">
      <c r="A25" s="1"/>
      <c r="B25" s="14" t="str">
        <f>Scenarios!C10</f>
        <v>Riskfree back at June 4.56% (terminal coc 8.25%)</v>
      </c>
      <c r="C25" s="31">
        <f>Scenarios!K10</f>
        <v>89.585587661046901</v>
      </c>
      <c r="D25" s="33">
        <f>Scenarios!L10</f>
        <v>-0.39746040045031683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4" t="str">
        <f>Scenarios!C11</f>
        <v>Terminal cost of capital = June model's 8.25%</v>
      </c>
      <c r="C26" s="31">
        <f>Scenarios!K11</f>
        <v>95.888839118697149</v>
      </c>
      <c r="D26" s="33">
        <f>Scenarios!L11</f>
        <v>-0.35506565026434522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4" t="str">
        <f>Scenarios!C12</f>
        <v>Terminal cost of capital = rf + mature ERP 9.37%</v>
      </c>
      <c r="C27" s="31">
        <f>Scenarios!K12</f>
        <v>72.518012278385413</v>
      </c>
      <c r="D27" s="33">
        <f>Scenarios!L12</f>
        <v>-0.51225442373967311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4" t="str">
        <f>Scenarios!C13</f>
        <v>xAI 2036 revenue $80bn (April 2026 view)</v>
      </c>
      <c r="C28" s="31">
        <f>Scenarios!K13</f>
        <v>73.140361664527873</v>
      </c>
      <c r="D28" s="33">
        <f>Scenarios!L13</f>
        <v>-0.50806859251729986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4" t="str">
        <f>Scenarios!C14</f>
        <v>xAI 2036 revenue $240bn</v>
      </c>
      <c r="C29" s="31">
        <f>Scenarios!K14</f>
        <v>89.669105331845643</v>
      </c>
      <c r="D29" s="33">
        <f>Scenarios!L14</f>
        <v>-0.39689867277478053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4" t="str">
        <f>Scenarios!C15</f>
        <v>Starlink target margin 50%</v>
      </c>
      <c r="C30" s="31">
        <f>Scenarios!K15</f>
        <v>75.135278620049078</v>
      </c>
      <c r="D30" s="33">
        <f>Scenarios!L15</f>
        <v>-0.49465107196630964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4" t="str">
        <f>Scenarios!C16</f>
        <v>Starlink target margin 70%</v>
      </c>
      <c r="C31" s="31">
        <f>Scenarios!K16</f>
        <v>87.674188376324466</v>
      </c>
      <c r="D31" s="33">
        <f>Scenarios!L16</f>
        <v>-0.41031619332577041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4" t="str">
        <f>Scenarios!C17</f>
        <v>xAI sales-to-capital 0.5 in yrs 1-5 (H1-26 capex pace)</v>
      </c>
      <c r="C32" s="31">
        <f>Scenarios!K17</f>
        <v>77.437047874147268</v>
      </c>
      <c r="D32" s="33">
        <f>Scenarios!L17</f>
        <v>-0.47916970759922473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4" t="str">
        <f>Scenarios!C18</f>
        <v>All 2036 revenue targets x0.75</v>
      </c>
      <c r="C33" s="31">
        <f>Scenarios!K18</f>
        <v>62.5776508142254</v>
      </c>
      <c r="D33" s="33">
        <f>Scenarios!L18</f>
        <v>-0.57911184547870997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4" t="str">
        <f>Scenarios!C19</f>
        <v>All 2036 revenue targets x1.25</v>
      </c>
      <c r="C34" s="31">
        <f>Scenarios!K19</f>
        <v>100.23181618214812</v>
      </c>
      <c r="D34" s="33">
        <f>Scenarios!L19</f>
        <v>-0.32585541981337018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19" t="s">
        <v>91</v>
      </c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22" t="s">
        <v>92</v>
      </c>
      <c r="C38" s="22" t="s">
        <v>86</v>
      </c>
      <c r="D38" s="22" t="s">
        <v>93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7" t="s">
        <v>94</v>
      </c>
      <c r="C39" s="34">
        <v>97.827699999999993</v>
      </c>
      <c r="D39" s="3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7" t="s">
        <v>95</v>
      </c>
      <c r="C40" s="34">
        <v>97.7667</v>
      </c>
      <c r="D40" s="35">
        <f>C40-C39</f>
        <v>-6.0999999999992838E-2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7" t="s">
        <v>96</v>
      </c>
      <c r="C41" s="34">
        <v>88.777100000000004</v>
      </c>
      <c r="D41" s="35">
        <f>C41-C40</f>
        <v>-8.9895999999999958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7" t="s">
        <v>97</v>
      </c>
      <c r="C42" s="34">
        <v>81.234300000000005</v>
      </c>
      <c r="D42" s="35">
        <f>C42-C41</f>
        <v>-7.5427999999999997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7" t="s">
        <v>98</v>
      </c>
      <c r="C43" s="34">
        <v>81.404700000000005</v>
      </c>
      <c r="D43" s="35">
        <f>C43-C42</f>
        <v>0.17040000000000077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</sheetData>
  <printOptions horizontalCentered="1"/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75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6" customWidth="1"/>
    <col min="3" max="4" width="14" customWidth="1"/>
    <col min="5" max="6" width="13" customWidth="1"/>
    <col min="7" max="9" width="12" customWidth="1"/>
    <col min="10" max="10" width="7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" x14ac:dyDescent="0.4">
      <c r="A2" s="1"/>
      <c r="B2" s="17" t="s">
        <v>99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8" t="s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9" t="s">
        <v>101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1"/>
      <c r="B6" s="7" t="s">
        <v>102</v>
      </c>
      <c r="C6" s="36">
        <v>46290</v>
      </c>
      <c r="D6" s="1"/>
      <c r="E6" s="1"/>
      <c r="F6" s="1"/>
      <c r="G6" s="1"/>
      <c r="H6" s="1"/>
      <c r="I6" s="1"/>
      <c r="J6" s="16" t="s">
        <v>103</v>
      </c>
    </row>
    <row r="7" spans="1:10" x14ac:dyDescent="0.35">
      <c r="A7" s="1"/>
      <c r="B7" s="7" t="s">
        <v>104</v>
      </c>
      <c r="C7" s="34">
        <v>148.68</v>
      </c>
      <c r="D7" s="1"/>
      <c r="E7" s="1"/>
      <c r="F7" s="1"/>
      <c r="G7" s="1"/>
      <c r="H7" s="1"/>
      <c r="I7" s="1"/>
      <c r="J7" s="16" t="s">
        <v>105</v>
      </c>
    </row>
    <row r="8" spans="1:10" x14ac:dyDescent="0.35">
      <c r="A8" s="1"/>
      <c r="B8" s="7" t="s">
        <v>67</v>
      </c>
      <c r="C8" s="37">
        <v>13181.78</v>
      </c>
      <c r="D8" s="1"/>
      <c r="E8" s="1"/>
      <c r="F8" s="1"/>
      <c r="G8" s="1"/>
      <c r="H8" s="1"/>
      <c r="I8" s="1"/>
      <c r="J8" s="16" t="s">
        <v>106</v>
      </c>
    </row>
    <row r="9" spans="1:10" x14ac:dyDescent="0.35">
      <c r="A9" s="1"/>
      <c r="B9" s="7" t="s">
        <v>107</v>
      </c>
      <c r="C9" s="34">
        <v>104.83</v>
      </c>
      <c r="D9" s="1"/>
      <c r="E9" s="1"/>
      <c r="F9" s="1"/>
      <c r="G9" s="1"/>
      <c r="H9" s="1"/>
      <c r="I9" s="1"/>
      <c r="J9" s="16" t="s">
        <v>108</v>
      </c>
    </row>
    <row r="10" spans="1:10" x14ac:dyDescent="0.35">
      <c r="A10" s="1"/>
      <c r="B10" s="7" t="s">
        <v>109</v>
      </c>
      <c r="C10" s="34">
        <v>225.64</v>
      </c>
      <c r="D10" s="1"/>
      <c r="E10" s="1"/>
      <c r="F10" s="1"/>
      <c r="G10" s="1"/>
      <c r="H10" s="1"/>
      <c r="I10" s="1"/>
      <c r="J10" s="16" t="s">
        <v>108</v>
      </c>
    </row>
    <row r="11" spans="1:10" x14ac:dyDescent="0.35">
      <c r="A11" s="1"/>
      <c r="B11" s="7" t="s">
        <v>110</v>
      </c>
      <c r="C11" s="34">
        <v>222.42</v>
      </c>
      <c r="D11" s="1"/>
      <c r="E11" s="1"/>
      <c r="F11" s="1"/>
      <c r="G11" s="1"/>
      <c r="H11" s="1"/>
      <c r="I11" s="1"/>
      <c r="J11" s="16" t="s">
        <v>111</v>
      </c>
    </row>
    <row r="12" spans="1:10" x14ac:dyDescent="0.35">
      <c r="A12" s="1"/>
      <c r="B12" s="7" t="s">
        <v>72</v>
      </c>
      <c r="C12" s="34">
        <v>97.83</v>
      </c>
      <c r="D12" s="1"/>
      <c r="E12" s="1"/>
      <c r="F12" s="1"/>
      <c r="G12" s="1"/>
      <c r="H12" s="1"/>
      <c r="I12" s="1"/>
      <c r="J12" s="16" t="s">
        <v>112</v>
      </c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9" t="s">
        <v>113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1"/>
      <c r="B15" s="7" t="s">
        <v>114</v>
      </c>
      <c r="C15" s="37">
        <v>100009</v>
      </c>
      <c r="D15" s="1"/>
      <c r="E15" s="1"/>
      <c r="F15" s="1"/>
      <c r="G15" s="1"/>
      <c r="H15" s="1"/>
      <c r="I15" s="1"/>
      <c r="J15" s="16" t="s">
        <v>115</v>
      </c>
    </row>
    <row r="16" spans="1:10" x14ac:dyDescent="0.35">
      <c r="A16" s="1"/>
      <c r="B16" s="7" t="s">
        <v>116</v>
      </c>
      <c r="C16" s="37">
        <v>39364</v>
      </c>
      <c r="D16" s="1"/>
      <c r="E16" s="1"/>
      <c r="F16" s="1"/>
      <c r="G16" s="1"/>
      <c r="H16" s="1"/>
      <c r="I16" s="1"/>
      <c r="J16" s="16" t="s">
        <v>117</v>
      </c>
    </row>
    <row r="17" spans="1:10" x14ac:dyDescent="0.35">
      <c r="A17" s="1"/>
      <c r="B17" s="7" t="s">
        <v>118</v>
      </c>
      <c r="C17" s="37">
        <v>127224</v>
      </c>
      <c r="D17" s="1"/>
      <c r="E17" s="1"/>
      <c r="F17" s="1"/>
      <c r="G17" s="1"/>
      <c r="H17" s="1"/>
      <c r="I17" s="1"/>
      <c r="J17" s="16" t="s">
        <v>119</v>
      </c>
    </row>
    <row r="18" spans="1:10" x14ac:dyDescent="0.35">
      <c r="A18" s="1"/>
      <c r="B18" s="7" t="s">
        <v>120</v>
      </c>
      <c r="C18" s="37">
        <v>0</v>
      </c>
      <c r="D18" s="1"/>
      <c r="E18" s="1"/>
      <c r="F18" s="1"/>
      <c r="G18" s="1"/>
      <c r="H18" s="1"/>
      <c r="I18" s="1"/>
      <c r="J18" s="16" t="s">
        <v>121</v>
      </c>
    </row>
    <row r="19" spans="1:10" x14ac:dyDescent="0.35">
      <c r="A19" s="1"/>
      <c r="B19" s="7" t="s">
        <v>122</v>
      </c>
      <c r="C19" s="37">
        <v>0</v>
      </c>
      <c r="D19" s="1"/>
      <c r="E19" s="1"/>
      <c r="F19" s="1"/>
      <c r="G19" s="1"/>
      <c r="H19" s="1"/>
      <c r="I19" s="1"/>
      <c r="J19" s="16" t="s">
        <v>123</v>
      </c>
    </row>
    <row r="20" spans="1:10" x14ac:dyDescent="0.35">
      <c r="A20" s="1"/>
      <c r="B20" s="7" t="s">
        <v>124</v>
      </c>
      <c r="C20" s="37">
        <v>0</v>
      </c>
      <c r="D20" s="1"/>
      <c r="E20" s="1"/>
      <c r="F20" s="1"/>
      <c r="G20" s="1"/>
      <c r="H20" s="1"/>
      <c r="I20" s="1"/>
      <c r="J20" s="16" t="s">
        <v>115</v>
      </c>
    </row>
    <row r="21" spans="1:10" x14ac:dyDescent="0.35">
      <c r="A21" s="1"/>
      <c r="B21" s="7" t="s">
        <v>125</v>
      </c>
      <c r="C21" s="37">
        <v>-3732</v>
      </c>
      <c r="D21" s="1"/>
      <c r="E21" s="1"/>
      <c r="F21" s="1"/>
      <c r="G21" s="1"/>
      <c r="H21" s="1"/>
      <c r="I21" s="1"/>
      <c r="J21" s="16" t="s">
        <v>126</v>
      </c>
    </row>
    <row r="22" spans="1:10" x14ac:dyDescent="0.35">
      <c r="A22" s="1"/>
      <c r="B22" s="7" t="s">
        <v>127</v>
      </c>
      <c r="C22" s="37">
        <v>2380</v>
      </c>
      <c r="D22" s="1"/>
      <c r="E22" s="1"/>
      <c r="F22" s="1"/>
      <c r="G22" s="1"/>
      <c r="H22" s="1"/>
      <c r="I22" s="1"/>
      <c r="J22" s="16" t="s">
        <v>128</v>
      </c>
    </row>
    <row r="23" spans="1:10" x14ac:dyDescent="0.35">
      <c r="A23" s="1"/>
      <c r="B23" s="7" t="s">
        <v>129</v>
      </c>
      <c r="C23" s="37">
        <v>18674</v>
      </c>
      <c r="D23" s="1"/>
      <c r="E23" s="1"/>
      <c r="F23" s="1"/>
      <c r="G23" s="1"/>
      <c r="H23" s="1"/>
      <c r="I23" s="1"/>
      <c r="J23" s="16" t="s">
        <v>130</v>
      </c>
    </row>
    <row r="24" spans="1:10" x14ac:dyDescent="0.35">
      <c r="A24" s="1"/>
      <c r="B24" s="7" t="s">
        <v>131</v>
      </c>
      <c r="C24" s="37">
        <v>0</v>
      </c>
      <c r="D24" s="1"/>
      <c r="E24" s="1"/>
      <c r="F24" s="1"/>
      <c r="G24" s="1"/>
      <c r="H24" s="1"/>
      <c r="I24" s="1"/>
      <c r="J24" s="16" t="s">
        <v>132</v>
      </c>
    </row>
    <row r="25" spans="1:10" x14ac:dyDescent="0.35">
      <c r="A25" s="1"/>
      <c r="B25" s="7" t="s">
        <v>133</v>
      </c>
      <c r="C25" s="37">
        <v>0</v>
      </c>
      <c r="D25" s="1"/>
      <c r="E25" s="1"/>
      <c r="F25" s="1"/>
      <c r="G25" s="1"/>
      <c r="H25" s="1"/>
      <c r="I25" s="1"/>
      <c r="J25" s="16" t="s">
        <v>134</v>
      </c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9" t="s">
        <v>135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1"/>
      <c r="B28" s="7" t="s">
        <v>136</v>
      </c>
      <c r="C28" s="37">
        <v>12190</v>
      </c>
      <c r="D28" s="1"/>
      <c r="E28" s="1"/>
      <c r="F28" s="1"/>
      <c r="G28" s="1"/>
      <c r="H28" s="1"/>
      <c r="I28" s="1"/>
      <c r="J28" s="16" t="s">
        <v>137</v>
      </c>
    </row>
    <row r="29" spans="1:10" x14ac:dyDescent="0.35">
      <c r="A29" s="1"/>
      <c r="B29" s="7" t="s">
        <v>138</v>
      </c>
      <c r="C29" s="37">
        <v>3464</v>
      </c>
      <c r="D29" s="1"/>
      <c r="E29" s="1"/>
      <c r="F29" s="1"/>
      <c r="G29" s="1"/>
      <c r="H29" s="1"/>
      <c r="I29" s="1"/>
      <c r="J29" s="16" t="s">
        <v>139</v>
      </c>
    </row>
    <row r="30" spans="1:10" x14ac:dyDescent="0.35">
      <c r="A30" s="1"/>
      <c r="B30" s="7" t="s">
        <v>140</v>
      </c>
      <c r="C30" s="37">
        <v>2105</v>
      </c>
      <c r="D30" s="1"/>
      <c r="E30" s="1"/>
      <c r="F30" s="1"/>
      <c r="G30" s="1"/>
      <c r="H30" s="1"/>
      <c r="I30" s="1"/>
      <c r="J30" s="16" t="s">
        <v>139</v>
      </c>
    </row>
    <row r="31" spans="1:10" x14ac:dyDescent="0.35">
      <c r="A31" s="1"/>
      <c r="B31" s="7" t="s">
        <v>141</v>
      </c>
      <c r="C31" s="37">
        <v>1800</v>
      </c>
      <c r="D31" s="1"/>
      <c r="E31" s="1"/>
      <c r="F31" s="1"/>
      <c r="G31" s="1"/>
      <c r="H31" s="1"/>
      <c r="I31" s="1"/>
      <c r="J31" s="16" t="s">
        <v>139</v>
      </c>
    </row>
    <row r="32" spans="1:10" x14ac:dyDescent="0.35">
      <c r="A32" s="1"/>
      <c r="B32" s="7" t="s">
        <v>142</v>
      </c>
      <c r="C32" s="37">
        <v>1600</v>
      </c>
      <c r="D32" s="1"/>
      <c r="E32" s="1"/>
      <c r="F32" s="1"/>
      <c r="G32" s="1"/>
      <c r="H32" s="1"/>
      <c r="I32" s="1"/>
      <c r="J32" s="16" t="s">
        <v>139</v>
      </c>
    </row>
    <row r="33" spans="1:10" x14ac:dyDescent="0.35">
      <c r="A33" s="1"/>
      <c r="B33" s="7" t="s">
        <v>143</v>
      </c>
      <c r="C33" s="37">
        <v>1200</v>
      </c>
      <c r="D33" s="1"/>
      <c r="E33" s="1"/>
      <c r="F33" s="1"/>
      <c r="G33" s="1"/>
      <c r="H33" s="1"/>
      <c r="I33" s="1"/>
      <c r="J33" s="16" t="s">
        <v>139</v>
      </c>
    </row>
    <row r="34" spans="1:10" x14ac:dyDescent="0.35">
      <c r="A34" s="1"/>
      <c r="B34" s="7" t="s">
        <v>144</v>
      </c>
      <c r="C34" s="38">
        <v>5</v>
      </c>
      <c r="D34" s="1"/>
      <c r="E34" s="1"/>
      <c r="F34" s="1"/>
      <c r="G34" s="1"/>
      <c r="H34" s="1"/>
      <c r="I34" s="1"/>
      <c r="J34" s="16" t="s">
        <v>145</v>
      </c>
    </row>
    <row r="35" spans="1:1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9" t="s">
        <v>146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1"/>
      <c r="B37" s="7" t="s">
        <v>147</v>
      </c>
      <c r="C37" s="39">
        <v>0.1</v>
      </c>
      <c r="D37" s="1"/>
      <c r="E37" s="1"/>
      <c r="F37" s="1"/>
      <c r="G37" s="1"/>
      <c r="H37" s="1"/>
      <c r="I37" s="1"/>
      <c r="J37" s="16" t="s">
        <v>134</v>
      </c>
    </row>
    <row r="38" spans="1:10" x14ac:dyDescent="0.35">
      <c r="A38" s="1"/>
      <c r="B38" s="7" t="s">
        <v>148</v>
      </c>
      <c r="C38" s="39">
        <v>0.25</v>
      </c>
      <c r="D38" s="1"/>
      <c r="E38" s="1"/>
      <c r="F38" s="1"/>
      <c r="G38" s="1"/>
      <c r="H38" s="1"/>
      <c r="I38" s="1"/>
      <c r="J38" s="16" t="s">
        <v>134</v>
      </c>
    </row>
    <row r="39" spans="1:10" x14ac:dyDescent="0.35">
      <c r="A39" s="1"/>
      <c r="B39" s="7" t="s">
        <v>149</v>
      </c>
      <c r="C39" s="40">
        <v>5.1700000000000003E-2</v>
      </c>
      <c r="D39" s="1"/>
      <c r="E39" s="1"/>
      <c r="F39" s="1"/>
      <c r="G39" s="1"/>
      <c r="H39" s="1"/>
      <c r="I39" s="1"/>
      <c r="J39" s="16" t="s">
        <v>150</v>
      </c>
    </row>
    <row r="40" spans="1:10" x14ac:dyDescent="0.35">
      <c r="A40" s="1"/>
      <c r="B40" s="7" t="s">
        <v>151</v>
      </c>
      <c r="C40" s="40">
        <v>4.2000000000000003E-2</v>
      </c>
      <c r="D40" s="1"/>
      <c r="E40" s="1"/>
      <c r="F40" s="1"/>
      <c r="G40" s="1"/>
      <c r="H40" s="1"/>
      <c r="I40" s="1"/>
      <c r="J40" s="16" t="s">
        <v>152</v>
      </c>
    </row>
    <row r="41" spans="1:10" x14ac:dyDescent="0.35">
      <c r="A41" s="1"/>
      <c r="B41" s="7" t="s">
        <v>153</v>
      </c>
      <c r="C41" s="40">
        <v>8.8599999999999998E-2</v>
      </c>
      <c r="D41" s="1"/>
      <c r="E41" s="1"/>
      <c r="F41" s="1"/>
      <c r="G41" s="1"/>
      <c r="H41" s="1"/>
      <c r="I41" s="1"/>
      <c r="J41" s="16" t="s">
        <v>154</v>
      </c>
    </row>
    <row r="42" spans="1:10" x14ac:dyDescent="0.35">
      <c r="A42" s="1"/>
      <c r="B42" s="7" t="s">
        <v>155</v>
      </c>
      <c r="C42" s="39">
        <v>0.15</v>
      </c>
      <c r="D42" s="1"/>
      <c r="E42" s="1"/>
      <c r="F42" s="1"/>
      <c r="G42" s="1"/>
      <c r="H42" s="1"/>
      <c r="I42" s="1"/>
      <c r="J42" s="16" t="s">
        <v>156</v>
      </c>
    </row>
    <row r="43" spans="1:10" x14ac:dyDescent="0.35">
      <c r="A43" s="1"/>
      <c r="B43" s="7" t="s">
        <v>157</v>
      </c>
      <c r="C43" s="39">
        <v>0</v>
      </c>
      <c r="D43" s="1"/>
      <c r="E43" s="1"/>
      <c r="F43" s="1"/>
      <c r="G43" s="1"/>
      <c r="H43" s="1"/>
      <c r="I43" s="1"/>
      <c r="J43" s="16" t="s">
        <v>158</v>
      </c>
    </row>
    <row r="44" spans="1:10" x14ac:dyDescent="0.35">
      <c r="A44" s="1"/>
      <c r="B44" s="7" t="s">
        <v>159</v>
      </c>
      <c r="C44" s="39">
        <v>0.5</v>
      </c>
      <c r="D44" s="1"/>
      <c r="E44" s="1"/>
      <c r="F44" s="1"/>
      <c r="G44" s="1"/>
      <c r="H44" s="1"/>
      <c r="I44" s="1"/>
      <c r="J44" s="16" t="s">
        <v>160</v>
      </c>
    </row>
    <row r="45" spans="1:10" x14ac:dyDescent="0.35">
      <c r="A45" s="1"/>
      <c r="B45" s="7" t="s">
        <v>161</v>
      </c>
      <c r="C45" s="40">
        <v>4.5600000000000002E-2</v>
      </c>
      <c r="D45" s="1"/>
      <c r="E45" s="1"/>
      <c r="F45" s="1"/>
      <c r="G45" s="1"/>
      <c r="H45" s="1"/>
      <c r="I45" s="1"/>
      <c r="J45" s="16" t="s">
        <v>145</v>
      </c>
    </row>
    <row r="46" spans="1:10" x14ac:dyDescent="0.35">
      <c r="A46" s="1"/>
      <c r="B46" s="7" t="s">
        <v>162</v>
      </c>
      <c r="C46" s="40">
        <v>8.2500000000000004E-2</v>
      </c>
      <c r="D46" s="1"/>
      <c r="E46" s="1"/>
      <c r="F46" s="1"/>
      <c r="G46" s="1"/>
      <c r="H46" s="1"/>
      <c r="I46" s="1"/>
      <c r="J46" s="16" t="s">
        <v>145</v>
      </c>
    </row>
    <row r="47" spans="1:1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5">
      <c r="A48" s="1"/>
      <c r="B48" s="19" t="s">
        <v>163</v>
      </c>
      <c r="C48" s="2"/>
      <c r="D48" s="2"/>
      <c r="E48" s="2"/>
      <c r="F48" s="2"/>
      <c r="G48" s="2"/>
      <c r="H48" s="2"/>
      <c r="I48" s="2"/>
      <c r="J48" s="2"/>
    </row>
    <row r="49" spans="1:10" ht="26" x14ac:dyDescent="0.35">
      <c r="A49" s="1"/>
      <c r="B49" s="22" t="s">
        <v>164</v>
      </c>
      <c r="C49" s="22" t="s">
        <v>165</v>
      </c>
      <c r="D49" s="22" t="s">
        <v>166</v>
      </c>
      <c r="E49" s="22" t="s">
        <v>167</v>
      </c>
      <c r="F49" s="22" t="s">
        <v>168</v>
      </c>
      <c r="G49" s="22" t="s">
        <v>169</v>
      </c>
      <c r="H49" s="22" t="s">
        <v>170</v>
      </c>
      <c r="I49" s="22" t="s">
        <v>171</v>
      </c>
      <c r="J49" s="1"/>
    </row>
    <row r="50" spans="1:10" x14ac:dyDescent="0.35">
      <c r="A50" s="1"/>
      <c r="B50" s="7" t="s">
        <v>172</v>
      </c>
      <c r="C50" s="37">
        <v>4056</v>
      </c>
      <c r="D50" s="37">
        <v>40000</v>
      </c>
      <c r="E50" s="39">
        <v>0.08</v>
      </c>
      <c r="F50" s="39">
        <v>0.45</v>
      </c>
      <c r="G50" s="41">
        <v>3</v>
      </c>
      <c r="H50" s="41">
        <v>4</v>
      </c>
      <c r="I50" s="38">
        <v>0</v>
      </c>
      <c r="J50" s="16" t="s">
        <v>173</v>
      </c>
    </row>
    <row r="51" spans="1:10" x14ac:dyDescent="0.35">
      <c r="A51" s="1"/>
      <c r="B51" s="7" t="s">
        <v>174</v>
      </c>
      <c r="C51" s="37">
        <v>13873</v>
      </c>
      <c r="D51" s="37">
        <v>120000</v>
      </c>
      <c r="E51" s="39">
        <v>0.1</v>
      </c>
      <c r="F51" s="39">
        <v>0.6</v>
      </c>
      <c r="G51" s="41">
        <v>3</v>
      </c>
      <c r="H51" s="41">
        <v>5</v>
      </c>
      <c r="I51" s="38">
        <v>0</v>
      </c>
      <c r="J51" s="16" t="s">
        <v>175</v>
      </c>
    </row>
    <row r="52" spans="1:10" x14ac:dyDescent="0.35">
      <c r="A52" s="1"/>
      <c r="B52" s="7" t="s">
        <v>176</v>
      </c>
      <c r="C52" s="37">
        <v>5115</v>
      </c>
      <c r="D52" s="37">
        <v>160000</v>
      </c>
      <c r="E52" s="39">
        <v>-0.05</v>
      </c>
      <c r="F52" s="39">
        <v>0.25</v>
      </c>
      <c r="G52" s="41">
        <v>1.5</v>
      </c>
      <c r="H52" s="41">
        <v>2.5</v>
      </c>
      <c r="I52" s="38">
        <v>0</v>
      </c>
      <c r="J52" s="1"/>
    </row>
    <row r="53" spans="1:10" x14ac:dyDescent="0.35">
      <c r="A53" s="1"/>
      <c r="B53" s="7" t="s">
        <v>177</v>
      </c>
      <c r="C53" s="37">
        <v>0</v>
      </c>
      <c r="D53" s="37">
        <v>100000</v>
      </c>
      <c r="E53" s="39">
        <v>0</v>
      </c>
      <c r="F53" s="39">
        <v>0.3</v>
      </c>
      <c r="G53" s="41">
        <v>5</v>
      </c>
      <c r="H53" s="41">
        <v>5</v>
      </c>
      <c r="I53" s="38">
        <v>1</v>
      </c>
      <c r="J53" s="1"/>
    </row>
    <row r="54" spans="1:10" x14ac:dyDescent="0.35">
      <c r="A54" s="1"/>
      <c r="B54" s="7" t="s">
        <v>178</v>
      </c>
      <c r="C54" s="38">
        <v>10</v>
      </c>
      <c r="D54" s="1"/>
      <c r="E54" s="1"/>
      <c r="F54" s="1"/>
      <c r="G54" s="1"/>
      <c r="H54" s="1"/>
      <c r="I54" s="1"/>
      <c r="J54" s="1"/>
    </row>
    <row r="55" spans="1:1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5">
      <c r="A56" s="1"/>
      <c r="B56" s="19" t="s">
        <v>179</v>
      </c>
      <c r="C56" s="2"/>
      <c r="D56" s="2"/>
      <c r="E56" s="2"/>
      <c r="F56" s="2"/>
      <c r="G56" s="2"/>
      <c r="H56" s="2"/>
      <c r="I56" s="2"/>
      <c r="J56" s="2"/>
    </row>
    <row r="57" spans="1:10" ht="26" x14ac:dyDescent="0.35">
      <c r="A57" s="1"/>
      <c r="B57" s="22" t="s">
        <v>180</v>
      </c>
      <c r="C57" s="22" t="s">
        <v>181</v>
      </c>
      <c r="D57" s="22" t="s">
        <v>182</v>
      </c>
      <c r="E57" s="22" t="s">
        <v>183</v>
      </c>
      <c r="F57" s="22" t="s">
        <v>184</v>
      </c>
      <c r="G57" s="1"/>
      <c r="H57" s="1"/>
      <c r="I57" s="1"/>
      <c r="J57" s="1"/>
    </row>
    <row r="58" spans="1:10" x14ac:dyDescent="0.35">
      <c r="A58" s="1"/>
      <c r="B58" s="7" t="s">
        <v>185</v>
      </c>
      <c r="C58" s="37">
        <v>4056</v>
      </c>
      <c r="D58" s="42">
        <v>1.1666842989999999</v>
      </c>
      <c r="E58" s="41">
        <v>3.385246124</v>
      </c>
      <c r="F58" s="37">
        <v>4100</v>
      </c>
      <c r="G58" s="1"/>
      <c r="H58" s="1"/>
      <c r="I58" s="1"/>
      <c r="J58" s="16" t="s">
        <v>186</v>
      </c>
    </row>
    <row r="59" spans="1:10" x14ac:dyDescent="0.35">
      <c r="A59" s="1"/>
      <c r="B59" s="7" t="s">
        <v>187</v>
      </c>
      <c r="C59" s="37">
        <v>13873</v>
      </c>
      <c r="D59" s="42">
        <v>0.49625571699999999</v>
      </c>
      <c r="E59" s="41">
        <v>2.263007784</v>
      </c>
      <c r="F59" s="37">
        <v>11400</v>
      </c>
      <c r="G59" s="1"/>
      <c r="H59" s="1"/>
      <c r="I59" s="1"/>
      <c r="J59" s="16" t="s">
        <v>188</v>
      </c>
    </row>
    <row r="60" spans="1:10" x14ac:dyDescent="0.35">
      <c r="A60" s="1"/>
      <c r="B60" s="7" t="s">
        <v>189</v>
      </c>
      <c r="C60" s="37">
        <v>5115</v>
      </c>
      <c r="D60" s="42">
        <v>1.3309502550000001</v>
      </c>
      <c r="E60" s="41">
        <v>9.9128027579999998</v>
      </c>
      <c r="F60" s="37">
        <v>100</v>
      </c>
      <c r="G60" s="1"/>
      <c r="H60" s="1"/>
      <c r="I60" s="1"/>
      <c r="J60" s="1"/>
    </row>
    <row r="61" spans="1:1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26" x14ac:dyDescent="0.35">
      <c r="A62" s="1"/>
      <c r="B62" s="22" t="s">
        <v>190</v>
      </c>
      <c r="C62" s="22" t="s">
        <v>191</v>
      </c>
      <c r="D62" s="22" t="s">
        <v>192</v>
      </c>
      <c r="E62" s="22" t="s">
        <v>193</v>
      </c>
      <c r="F62" s="1"/>
      <c r="G62" s="1"/>
      <c r="H62" s="1"/>
      <c r="I62" s="1"/>
      <c r="J62" s="1"/>
    </row>
    <row r="63" spans="1:10" x14ac:dyDescent="0.35">
      <c r="A63" s="1"/>
      <c r="B63" s="7" t="s">
        <v>194</v>
      </c>
      <c r="C63" s="37">
        <v>15207</v>
      </c>
      <c r="D63" s="40">
        <v>4.4200000000000003E-2</v>
      </c>
      <c r="E63" s="40">
        <v>4.4600000000000001E-2</v>
      </c>
      <c r="F63" s="1"/>
      <c r="G63" s="1"/>
      <c r="H63" s="1"/>
      <c r="I63" s="1"/>
      <c r="J63" s="16" t="s">
        <v>195</v>
      </c>
    </row>
    <row r="64" spans="1:10" x14ac:dyDescent="0.35">
      <c r="A64" s="1"/>
      <c r="B64" s="7" t="s">
        <v>196</v>
      </c>
      <c r="C64" s="37">
        <v>6662</v>
      </c>
      <c r="D64" s="40">
        <v>5.0700000000000002E-2</v>
      </c>
      <c r="E64" s="40">
        <v>5.1400000000000001E-2</v>
      </c>
      <c r="F64" s="1"/>
      <c r="G64" s="1"/>
      <c r="H64" s="1"/>
      <c r="I64" s="1"/>
      <c r="J64" s="1"/>
    </row>
    <row r="65" spans="1:10" x14ac:dyDescent="0.35">
      <c r="A65" s="1"/>
      <c r="B65" s="7" t="s">
        <v>197</v>
      </c>
      <c r="C65" s="37">
        <v>9667</v>
      </c>
      <c r="D65" s="40">
        <v>6.1800000000000001E-2</v>
      </c>
      <c r="E65" s="40">
        <v>6.1800000000000001E-2</v>
      </c>
      <c r="F65" s="1"/>
      <c r="G65" s="1"/>
      <c r="H65" s="1"/>
      <c r="I65" s="1"/>
      <c r="J65" s="1"/>
    </row>
    <row r="66" spans="1:1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5">
      <c r="A67" s="1"/>
      <c r="B67" s="7" t="s">
        <v>198</v>
      </c>
      <c r="C67" s="13" t="s">
        <v>199</v>
      </c>
      <c r="D67" s="1"/>
      <c r="E67" s="1"/>
      <c r="F67" s="1"/>
      <c r="G67" s="1"/>
      <c r="H67" s="1"/>
      <c r="I67" s="1"/>
      <c r="J67" s="16" t="s">
        <v>145</v>
      </c>
    </row>
    <row r="68" spans="1:10" x14ac:dyDescent="0.35">
      <c r="A68" s="1"/>
      <c r="B68" s="7" t="s">
        <v>200</v>
      </c>
      <c r="C68" s="40">
        <v>1.8395000000000002E-2</v>
      </c>
      <c r="D68" s="1"/>
      <c r="E68" s="1"/>
      <c r="F68" s="1"/>
      <c r="G68" s="1"/>
      <c r="H68" s="1"/>
      <c r="I68" s="1"/>
      <c r="J68" s="16" t="s">
        <v>201</v>
      </c>
    </row>
    <row r="69" spans="1:10" x14ac:dyDescent="0.35">
      <c r="A69" s="1"/>
      <c r="B69" s="7" t="s">
        <v>202</v>
      </c>
      <c r="C69" s="38">
        <v>3</v>
      </c>
      <c r="D69" s="1"/>
      <c r="E69" s="1"/>
      <c r="F69" s="1"/>
      <c r="G69" s="1"/>
      <c r="H69" s="1"/>
      <c r="I69" s="1"/>
      <c r="J69" s="16" t="s">
        <v>145</v>
      </c>
    </row>
    <row r="70" spans="1:1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5">
      <c r="A71" s="1"/>
      <c r="B71" s="19" t="s">
        <v>203</v>
      </c>
      <c r="C71" s="2"/>
      <c r="D71" s="2"/>
      <c r="E71" s="2"/>
      <c r="F71" s="2"/>
      <c r="G71" s="2"/>
      <c r="H71" s="2"/>
      <c r="I71" s="2"/>
      <c r="J71" s="2"/>
    </row>
    <row r="72" spans="1:10" x14ac:dyDescent="0.35">
      <c r="A72" s="1"/>
      <c r="B72" s="7" t="s">
        <v>204</v>
      </c>
      <c r="C72" s="39">
        <v>0.110999</v>
      </c>
      <c r="D72" s="1"/>
      <c r="E72" s="1"/>
      <c r="F72" s="1"/>
      <c r="G72" s="1"/>
      <c r="H72" s="1"/>
      <c r="I72" s="1"/>
      <c r="J72" s="16" t="s">
        <v>205</v>
      </c>
    </row>
    <row r="73" spans="1:10" x14ac:dyDescent="0.35">
      <c r="A73" s="1"/>
      <c r="B73" s="7" t="s">
        <v>206</v>
      </c>
      <c r="C73" s="39">
        <v>8.7653999999999996E-2</v>
      </c>
      <c r="D73" s="1"/>
      <c r="E73" s="1"/>
      <c r="F73" s="1"/>
      <c r="G73" s="1"/>
      <c r="H73" s="1"/>
      <c r="I73" s="1"/>
      <c r="J73" s="16" t="s">
        <v>205</v>
      </c>
    </row>
    <row r="74" spans="1:10" x14ac:dyDescent="0.35">
      <c r="A74" s="1"/>
      <c r="B74" s="7" t="s">
        <v>207</v>
      </c>
      <c r="C74" s="41">
        <v>2.7434099999999999</v>
      </c>
      <c r="D74" s="1"/>
      <c r="E74" s="1"/>
      <c r="F74" s="1"/>
      <c r="G74" s="1"/>
      <c r="H74" s="1"/>
      <c r="I74" s="1"/>
      <c r="J74" s="16" t="s">
        <v>205</v>
      </c>
    </row>
    <row r="75" spans="1:10" x14ac:dyDescent="0.35">
      <c r="A75" s="1"/>
      <c r="B75" s="7" t="s">
        <v>208</v>
      </c>
      <c r="C75" s="39">
        <v>7.6014999999999999E-2</v>
      </c>
      <c r="D75" s="1"/>
      <c r="E75" s="1"/>
      <c r="F75" s="1"/>
      <c r="G75" s="1"/>
      <c r="H75" s="1"/>
      <c r="I75" s="1"/>
      <c r="J75" s="16" t="s">
        <v>205</v>
      </c>
    </row>
  </sheetData>
  <printOptions horizontalCentered="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4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" customWidth="1"/>
    <col min="3" max="3" width="50" customWidth="1"/>
    <col min="4" max="6" width="11" customWidth="1"/>
    <col min="7" max="7" width="12" customWidth="1"/>
    <col min="8" max="10" width="11" customWidth="1"/>
    <col min="11" max="11" width="12" customWidth="1"/>
    <col min="12" max="12" width="11" customWidth="1"/>
    <col min="14" max="14" width="8" customWidth="1"/>
    <col min="15" max="15" width="12" customWidth="1"/>
  </cols>
  <sheetData>
    <row r="1" spans="1: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x14ac:dyDescent="0.4">
      <c r="A2" s="1"/>
      <c r="B2" s="17" t="s">
        <v>209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/>
      <c r="B3" s="18" t="s">
        <v>210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1"/>
      <c r="B5" s="1"/>
      <c r="C5" s="6" t="s">
        <v>211</v>
      </c>
      <c r="D5" s="43">
        <v>1</v>
      </c>
      <c r="E5" s="7" t="str">
        <f>INDEX($C$8:$C$19,$D$5)</f>
        <v>Base case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 t="s">
        <v>212</v>
      </c>
      <c r="O6" s="1"/>
    </row>
    <row r="7" spans="1:15" ht="42" customHeight="1" x14ac:dyDescent="0.35">
      <c r="A7" s="1"/>
      <c r="B7" s="22" t="s">
        <v>213</v>
      </c>
      <c r="C7" s="22" t="s">
        <v>85</v>
      </c>
      <c r="D7" s="22" t="s">
        <v>84</v>
      </c>
      <c r="E7" s="22" t="s">
        <v>153</v>
      </c>
      <c r="F7" s="22" t="s">
        <v>214</v>
      </c>
      <c r="G7" s="22" t="s">
        <v>215</v>
      </c>
      <c r="H7" s="22" t="s">
        <v>216</v>
      </c>
      <c r="I7" s="22" t="s">
        <v>217</v>
      </c>
      <c r="J7" s="22" t="s">
        <v>218</v>
      </c>
      <c r="K7" s="22" t="s">
        <v>86</v>
      </c>
      <c r="L7" s="22" t="s">
        <v>87</v>
      </c>
      <c r="M7" s="1"/>
      <c r="N7" s="1"/>
      <c r="O7" s="23">
        <f>ValuePerShare</f>
        <v>81.404733498186744</v>
      </c>
    </row>
    <row r="8" spans="1:15" x14ac:dyDescent="0.35">
      <c r="A8" s="1"/>
      <c r="B8" s="44">
        <v>1</v>
      </c>
      <c r="C8" s="7" t="s">
        <v>219</v>
      </c>
      <c r="D8" s="45">
        <f>Inputs!$C$39</f>
        <v>5.1700000000000003E-2</v>
      </c>
      <c r="E8" s="45">
        <f>Inputs!$C$41</f>
        <v>8.8599999999999998E-2</v>
      </c>
      <c r="F8" s="38">
        <v>1</v>
      </c>
      <c r="G8" s="21">
        <f>Inputs!$D$52</f>
        <v>160000</v>
      </c>
      <c r="H8" s="33">
        <f>Inputs!$F$51</f>
        <v>0.6</v>
      </c>
      <c r="I8" s="46">
        <f>Inputs!$G$52</f>
        <v>1.5</v>
      </c>
      <c r="J8" s="32">
        <v>1</v>
      </c>
      <c r="K8" s="23">
        <f t="shared" ref="K8:K19" si="0">O8</f>
        <v>81.404733498186744</v>
      </c>
      <c r="L8" s="25">
        <f>K8/Inputs!$C$7-1</f>
        <v>-0.45248363264604019</v>
      </c>
      <c r="M8" s="1"/>
      <c r="N8" s="44">
        <v>1</v>
      </c>
      <c r="O8" s="81">
        <f t="dataTable" ref="O8:O19" dt2D="0" dtr="0" r1="D5" ca="1"/>
        <v>81.404733498186744</v>
      </c>
    </row>
    <row r="9" spans="1:15" x14ac:dyDescent="0.35">
      <c r="A9" s="1"/>
      <c r="B9" s="44">
        <v>2</v>
      </c>
      <c r="C9" s="7" t="s">
        <v>220</v>
      </c>
      <c r="D9" s="29">
        <f>$D$8</f>
        <v>5.1700000000000003E-2</v>
      </c>
      <c r="E9" s="29">
        <f>$E$8</f>
        <v>8.8599999999999998E-2</v>
      </c>
      <c r="F9" s="38">
        <v>2</v>
      </c>
      <c r="G9" s="26">
        <f>$G$8</f>
        <v>160000</v>
      </c>
      <c r="H9" s="25">
        <f t="shared" ref="H9:H14" si="1">$H$8</f>
        <v>0.6</v>
      </c>
      <c r="I9" s="47">
        <f t="shared" ref="I9:I16" si="2">$I$8</f>
        <v>1.5</v>
      </c>
      <c r="J9" s="48">
        <f t="shared" ref="J9:J17" si="3">$J$8</f>
        <v>1</v>
      </c>
      <c r="K9" s="23">
        <f t="shared" si="0"/>
        <v>88.913607350198916</v>
      </c>
      <c r="L9" s="25">
        <f>K9/Inputs!$C$7-1</f>
        <v>-0.40198004203525084</v>
      </c>
      <c r="M9" s="1"/>
      <c r="N9" s="44">
        <v>2</v>
      </c>
      <c r="O9" s="81">
        <v>88.913607350198916</v>
      </c>
    </row>
    <row r="10" spans="1:15" x14ac:dyDescent="0.35">
      <c r="A10" s="1"/>
      <c r="B10" s="44">
        <v>3</v>
      </c>
      <c r="C10" s="7" t="s">
        <v>221</v>
      </c>
      <c r="D10" s="45">
        <f>Inputs!$C$45</f>
        <v>4.5600000000000002E-2</v>
      </c>
      <c r="E10" s="45">
        <f>Inputs!$C$46</f>
        <v>8.2500000000000004E-2</v>
      </c>
      <c r="F10" s="44">
        <f t="shared" ref="F10:F19" si="4">$F$8</f>
        <v>1</v>
      </c>
      <c r="G10" s="26">
        <f>$G$8</f>
        <v>160000</v>
      </c>
      <c r="H10" s="25">
        <f t="shared" si="1"/>
        <v>0.6</v>
      </c>
      <c r="I10" s="47">
        <f t="shared" si="2"/>
        <v>1.5</v>
      </c>
      <c r="J10" s="48">
        <f t="shared" si="3"/>
        <v>1</v>
      </c>
      <c r="K10" s="23">
        <f t="shared" si="0"/>
        <v>89.585587661046901</v>
      </c>
      <c r="L10" s="25">
        <f>K10/Inputs!$C$7-1</f>
        <v>-0.39746040045031683</v>
      </c>
      <c r="M10" s="1"/>
      <c r="N10" s="44">
        <v>3</v>
      </c>
      <c r="O10" s="81">
        <v>89.585587661046901</v>
      </c>
    </row>
    <row r="11" spans="1:15" x14ac:dyDescent="0.35">
      <c r="A11" s="1"/>
      <c r="B11" s="44">
        <v>4</v>
      </c>
      <c r="C11" s="7" t="s">
        <v>222</v>
      </c>
      <c r="D11" s="29">
        <f t="shared" ref="D11:D19" si="5">$D$8</f>
        <v>5.1700000000000003E-2</v>
      </c>
      <c r="E11" s="45">
        <f>Inputs!$C$46</f>
        <v>8.2500000000000004E-2</v>
      </c>
      <c r="F11" s="44">
        <f t="shared" si="4"/>
        <v>1</v>
      </c>
      <c r="G11" s="26">
        <f>$G$8</f>
        <v>160000</v>
      </c>
      <c r="H11" s="25">
        <f t="shared" si="1"/>
        <v>0.6</v>
      </c>
      <c r="I11" s="47">
        <f t="shared" si="2"/>
        <v>1.5</v>
      </c>
      <c r="J11" s="48">
        <f t="shared" si="3"/>
        <v>1</v>
      </c>
      <c r="K11" s="23">
        <f t="shared" si="0"/>
        <v>95.888839118697149</v>
      </c>
      <c r="L11" s="25">
        <f>K11/Inputs!$C$7-1</f>
        <v>-0.35506565026434522</v>
      </c>
      <c r="M11" s="1"/>
      <c r="N11" s="44">
        <v>4</v>
      </c>
      <c r="O11" s="81">
        <v>95.888839118697149</v>
      </c>
    </row>
    <row r="12" spans="1:15" x14ac:dyDescent="0.35">
      <c r="A12" s="1"/>
      <c r="B12" s="44">
        <v>5</v>
      </c>
      <c r="C12" s="7" t="s">
        <v>223</v>
      </c>
      <c r="D12" s="29">
        <f t="shared" si="5"/>
        <v>5.1700000000000003E-2</v>
      </c>
      <c r="E12" s="29">
        <f>Inputs!$C$39+Inputs!$C$40</f>
        <v>9.3700000000000006E-2</v>
      </c>
      <c r="F12" s="44">
        <f t="shared" si="4"/>
        <v>1</v>
      </c>
      <c r="G12" s="26">
        <f>$G$8</f>
        <v>160000</v>
      </c>
      <c r="H12" s="25">
        <f t="shared" si="1"/>
        <v>0.6</v>
      </c>
      <c r="I12" s="47">
        <f t="shared" si="2"/>
        <v>1.5</v>
      </c>
      <c r="J12" s="48">
        <f t="shared" si="3"/>
        <v>1</v>
      </c>
      <c r="K12" s="23">
        <f t="shared" si="0"/>
        <v>72.518012278385413</v>
      </c>
      <c r="L12" s="25">
        <f>K12/Inputs!$C$7-1</f>
        <v>-0.51225442373967311</v>
      </c>
      <c r="M12" s="1"/>
      <c r="N12" s="44">
        <v>5</v>
      </c>
      <c r="O12" s="81">
        <v>72.518012278385413</v>
      </c>
    </row>
    <row r="13" spans="1:15" x14ac:dyDescent="0.35">
      <c r="A13" s="1"/>
      <c r="B13" s="44">
        <v>6</v>
      </c>
      <c r="C13" s="7" t="s">
        <v>224</v>
      </c>
      <c r="D13" s="29">
        <f t="shared" si="5"/>
        <v>5.1700000000000003E-2</v>
      </c>
      <c r="E13" s="29">
        <f t="shared" ref="E13:E19" si="6">$E$8</f>
        <v>8.8599999999999998E-2</v>
      </c>
      <c r="F13" s="44">
        <f t="shared" si="4"/>
        <v>1</v>
      </c>
      <c r="G13" s="37">
        <v>80000</v>
      </c>
      <c r="H13" s="25">
        <f t="shared" si="1"/>
        <v>0.6</v>
      </c>
      <c r="I13" s="47">
        <f t="shared" si="2"/>
        <v>1.5</v>
      </c>
      <c r="J13" s="48">
        <f t="shared" si="3"/>
        <v>1</v>
      </c>
      <c r="K13" s="23">
        <f t="shared" si="0"/>
        <v>73.140361664527873</v>
      </c>
      <c r="L13" s="25">
        <f>K13/Inputs!$C$7-1</f>
        <v>-0.50806859251729986</v>
      </c>
      <c r="M13" s="1"/>
      <c r="N13" s="44">
        <v>6</v>
      </c>
      <c r="O13" s="81">
        <v>73.140361664527873</v>
      </c>
    </row>
    <row r="14" spans="1:15" x14ac:dyDescent="0.35">
      <c r="A14" s="1"/>
      <c r="B14" s="44">
        <v>7</v>
      </c>
      <c r="C14" s="7" t="s">
        <v>225</v>
      </c>
      <c r="D14" s="29">
        <f t="shared" si="5"/>
        <v>5.1700000000000003E-2</v>
      </c>
      <c r="E14" s="29">
        <f t="shared" si="6"/>
        <v>8.8599999999999998E-2</v>
      </c>
      <c r="F14" s="44">
        <f t="shared" si="4"/>
        <v>1</v>
      </c>
      <c r="G14" s="37">
        <v>240000</v>
      </c>
      <c r="H14" s="25">
        <f t="shared" si="1"/>
        <v>0.6</v>
      </c>
      <c r="I14" s="47">
        <f t="shared" si="2"/>
        <v>1.5</v>
      </c>
      <c r="J14" s="48">
        <f t="shared" si="3"/>
        <v>1</v>
      </c>
      <c r="K14" s="23">
        <f t="shared" si="0"/>
        <v>89.669105331845643</v>
      </c>
      <c r="L14" s="25">
        <f>K14/Inputs!$C$7-1</f>
        <v>-0.39689867277478053</v>
      </c>
      <c r="M14" s="1"/>
      <c r="N14" s="44">
        <v>7</v>
      </c>
      <c r="O14" s="81">
        <v>89.669105331845643</v>
      </c>
    </row>
    <row r="15" spans="1:15" x14ac:dyDescent="0.35">
      <c r="A15" s="1"/>
      <c r="B15" s="44">
        <v>8</v>
      </c>
      <c r="C15" s="7" t="s">
        <v>226</v>
      </c>
      <c r="D15" s="29">
        <f t="shared" si="5"/>
        <v>5.1700000000000003E-2</v>
      </c>
      <c r="E15" s="29">
        <f t="shared" si="6"/>
        <v>8.8599999999999998E-2</v>
      </c>
      <c r="F15" s="44">
        <f t="shared" si="4"/>
        <v>1</v>
      </c>
      <c r="G15" s="26">
        <f>$G$8</f>
        <v>160000</v>
      </c>
      <c r="H15" s="39">
        <v>0.5</v>
      </c>
      <c r="I15" s="47">
        <f t="shared" si="2"/>
        <v>1.5</v>
      </c>
      <c r="J15" s="48">
        <f t="shared" si="3"/>
        <v>1</v>
      </c>
      <c r="K15" s="23">
        <f t="shared" si="0"/>
        <v>75.135278620049078</v>
      </c>
      <c r="L15" s="25">
        <f>K15/Inputs!$C$7-1</f>
        <v>-0.49465107196630964</v>
      </c>
      <c r="M15" s="1"/>
      <c r="N15" s="44">
        <v>8</v>
      </c>
      <c r="O15" s="81">
        <v>75.135278620049078</v>
      </c>
    </row>
    <row r="16" spans="1:15" x14ac:dyDescent="0.35">
      <c r="A16" s="1"/>
      <c r="B16" s="44">
        <v>9</v>
      </c>
      <c r="C16" s="7" t="s">
        <v>227</v>
      </c>
      <c r="D16" s="29">
        <f t="shared" si="5"/>
        <v>5.1700000000000003E-2</v>
      </c>
      <c r="E16" s="29">
        <f t="shared" si="6"/>
        <v>8.8599999999999998E-2</v>
      </c>
      <c r="F16" s="44">
        <f t="shared" si="4"/>
        <v>1</v>
      </c>
      <c r="G16" s="26">
        <f>$G$8</f>
        <v>160000</v>
      </c>
      <c r="H16" s="39">
        <v>0.7</v>
      </c>
      <c r="I16" s="47">
        <f t="shared" si="2"/>
        <v>1.5</v>
      </c>
      <c r="J16" s="48">
        <f t="shared" si="3"/>
        <v>1</v>
      </c>
      <c r="K16" s="23">
        <f t="shared" si="0"/>
        <v>87.674188376324466</v>
      </c>
      <c r="L16" s="25">
        <f>K16/Inputs!$C$7-1</f>
        <v>-0.41031619332577041</v>
      </c>
      <c r="M16" s="1"/>
      <c r="N16" s="44">
        <v>9</v>
      </c>
      <c r="O16" s="81">
        <v>87.674188376324466</v>
      </c>
    </row>
    <row r="17" spans="1:15" x14ac:dyDescent="0.35">
      <c r="A17" s="1"/>
      <c r="B17" s="44">
        <v>10</v>
      </c>
      <c r="C17" s="7" t="s">
        <v>228</v>
      </c>
      <c r="D17" s="29">
        <f t="shared" si="5"/>
        <v>5.1700000000000003E-2</v>
      </c>
      <c r="E17" s="29">
        <f t="shared" si="6"/>
        <v>8.8599999999999998E-2</v>
      </c>
      <c r="F17" s="44">
        <f t="shared" si="4"/>
        <v>1</v>
      </c>
      <c r="G17" s="26">
        <f>$G$8</f>
        <v>160000</v>
      </c>
      <c r="H17" s="25">
        <f>$H$8</f>
        <v>0.6</v>
      </c>
      <c r="I17" s="41">
        <v>0.5</v>
      </c>
      <c r="J17" s="48">
        <f t="shared" si="3"/>
        <v>1</v>
      </c>
      <c r="K17" s="23">
        <f t="shared" si="0"/>
        <v>77.437047874147268</v>
      </c>
      <c r="L17" s="25">
        <f>K17/Inputs!$C$7-1</f>
        <v>-0.47916970759922473</v>
      </c>
      <c r="M17" s="1"/>
      <c r="N17" s="44">
        <v>10</v>
      </c>
      <c r="O17" s="81">
        <v>77.437047874147268</v>
      </c>
    </row>
    <row r="18" spans="1:15" x14ac:dyDescent="0.35">
      <c r="A18" s="1"/>
      <c r="B18" s="44">
        <v>11</v>
      </c>
      <c r="C18" s="7" t="s">
        <v>229</v>
      </c>
      <c r="D18" s="29">
        <f t="shared" si="5"/>
        <v>5.1700000000000003E-2</v>
      </c>
      <c r="E18" s="29">
        <f t="shared" si="6"/>
        <v>8.8599999999999998E-2</v>
      </c>
      <c r="F18" s="44">
        <f t="shared" si="4"/>
        <v>1</v>
      </c>
      <c r="G18" s="26">
        <f>$G$8</f>
        <v>160000</v>
      </c>
      <c r="H18" s="25">
        <f>$H$8</f>
        <v>0.6</v>
      </c>
      <c r="I18" s="47">
        <f>$I$8</f>
        <v>1.5</v>
      </c>
      <c r="J18" s="32">
        <v>0.75</v>
      </c>
      <c r="K18" s="23">
        <f t="shared" si="0"/>
        <v>62.5776508142254</v>
      </c>
      <c r="L18" s="25">
        <f>K18/Inputs!$C$7-1</f>
        <v>-0.57911184547870997</v>
      </c>
      <c r="M18" s="1"/>
      <c r="N18" s="44">
        <v>11</v>
      </c>
      <c r="O18" s="81">
        <v>62.5776508142254</v>
      </c>
    </row>
    <row r="19" spans="1:15" x14ac:dyDescent="0.35">
      <c r="A19" s="1"/>
      <c r="B19" s="44">
        <v>12</v>
      </c>
      <c r="C19" s="7" t="s">
        <v>230</v>
      </c>
      <c r="D19" s="29">
        <f t="shared" si="5"/>
        <v>5.1700000000000003E-2</v>
      </c>
      <c r="E19" s="29">
        <f t="shared" si="6"/>
        <v>8.8599999999999998E-2</v>
      </c>
      <c r="F19" s="44">
        <f t="shared" si="4"/>
        <v>1</v>
      </c>
      <c r="G19" s="26">
        <f>$G$8</f>
        <v>160000</v>
      </c>
      <c r="H19" s="25">
        <f>$H$8</f>
        <v>0.6</v>
      </c>
      <c r="I19" s="47">
        <f>$I$8</f>
        <v>1.5</v>
      </c>
      <c r="J19" s="32">
        <v>1.25</v>
      </c>
      <c r="K19" s="23">
        <f t="shared" si="0"/>
        <v>100.23181618214812</v>
      </c>
      <c r="L19" s="25">
        <f>K19/Inputs!$C$7-1</f>
        <v>-0.32585541981337018</v>
      </c>
      <c r="M19" s="1"/>
      <c r="N19" s="44">
        <v>12</v>
      </c>
      <c r="O19" s="81">
        <v>100.23181618214812</v>
      </c>
    </row>
    <row r="20" spans="1:1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19" t="s">
        <v>231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35">
      <c r="A22" s="1"/>
      <c r="B22" s="1"/>
      <c r="C22" s="6" t="s">
        <v>232</v>
      </c>
      <c r="D22" s="29">
        <f t="shared" ref="D22:J22" si="7">INDEX(D$8:D$19,$D$5)</f>
        <v>5.1700000000000003E-2</v>
      </c>
      <c r="E22" s="29">
        <f t="shared" si="7"/>
        <v>8.8599999999999998E-2</v>
      </c>
      <c r="F22" s="44">
        <f t="shared" si="7"/>
        <v>1</v>
      </c>
      <c r="G22" s="26">
        <f t="shared" si="7"/>
        <v>160000</v>
      </c>
      <c r="H22" s="25">
        <f t="shared" si="7"/>
        <v>0.6</v>
      </c>
      <c r="I22" s="47">
        <f t="shared" si="7"/>
        <v>1.5</v>
      </c>
      <c r="J22" s="48">
        <f t="shared" si="7"/>
        <v>1</v>
      </c>
      <c r="K22" s="1"/>
      <c r="L22" s="1"/>
      <c r="M22" s="1"/>
      <c r="N22" s="1"/>
      <c r="O22" s="1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1"/>
      <c r="C24" s="16" t="s">
        <v>233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printOptions horizontalCentered="1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6"/>
  <sheetViews>
    <sheetView showGridLines="0" zoomScale="85" workbookViewId="0"/>
  </sheetViews>
  <sheetFormatPr defaultRowHeight="14.5" x14ac:dyDescent="0.35"/>
  <cols>
    <col min="1" max="1" width="2" customWidth="1"/>
    <col min="2" max="2" width="40" customWidth="1"/>
    <col min="3" max="8" width="13" customWidth="1"/>
    <col min="9" max="9" width="40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20" x14ac:dyDescent="0.4">
      <c r="A2" s="1"/>
      <c r="B2" s="17" t="s">
        <v>234</v>
      </c>
      <c r="C2" s="1"/>
      <c r="D2" s="1"/>
      <c r="E2" s="1"/>
      <c r="F2" s="1"/>
      <c r="G2" s="1"/>
      <c r="H2" s="1"/>
      <c r="I2" s="1"/>
    </row>
    <row r="3" spans="1:9" x14ac:dyDescent="0.35">
      <c r="A3" s="1"/>
      <c r="B3" s="18" t="s">
        <v>235</v>
      </c>
      <c r="C3" s="1"/>
      <c r="D3" s="1"/>
      <c r="E3" s="1"/>
      <c r="F3" s="1"/>
      <c r="G3" s="1"/>
      <c r="H3" s="1"/>
      <c r="I3" s="1"/>
    </row>
    <row r="4" spans="1:9" x14ac:dyDescent="0.35">
      <c r="A4" s="1"/>
      <c r="B4" s="19" t="s">
        <v>236</v>
      </c>
      <c r="C4" s="2"/>
      <c r="D4" s="2"/>
      <c r="E4" s="2"/>
      <c r="F4" s="2"/>
      <c r="G4" s="2"/>
      <c r="H4" s="2"/>
      <c r="I4" s="2"/>
    </row>
    <row r="5" spans="1:9" x14ac:dyDescent="0.35">
      <c r="A5" s="1"/>
      <c r="B5" s="7" t="s">
        <v>237</v>
      </c>
      <c r="C5" s="49">
        <v>0</v>
      </c>
      <c r="D5" s="1"/>
      <c r="E5" s="1"/>
      <c r="F5" s="1"/>
      <c r="G5" s="1"/>
      <c r="H5" s="1"/>
      <c r="I5" s="1"/>
    </row>
    <row r="6" spans="1:9" x14ac:dyDescent="0.35">
      <c r="A6" s="1"/>
      <c r="B6" s="7" t="s">
        <v>238</v>
      </c>
      <c r="C6" s="49">
        <v>0</v>
      </c>
      <c r="D6" s="1"/>
      <c r="E6" s="1"/>
      <c r="F6" s="1"/>
      <c r="G6" s="1"/>
      <c r="H6" s="1"/>
      <c r="I6" s="1"/>
    </row>
    <row r="7" spans="1:9" x14ac:dyDescent="0.35">
      <c r="A7" s="1"/>
      <c r="B7" s="7" t="s">
        <v>239</v>
      </c>
      <c r="C7" s="50">
        <v>1</v>
      </c>
      <c r="D7" s="1"/>
      <c r="E7" s="1"/>
      <c r="F7" s="1"/>
      <c r="G7" s="1"/>
      <c r="H7" s="1"/>
      <c r="I7" s="1"/>
    </row>
    <row r="8" spans="1:9" x14ac:dyDescent="0.35">
      <c r="A8" s="1"/>
      <c r="B8" s="7" t="s">
        <v>240</v>
      </c>
      <c r="C8" s="51">
        <v>0</v>
      </c>
      <c r="D8" s="1"/>
      <c r="E8" s="1"/>
      <c r="F8" s="1"/>
      <c r="G8" s="1"/>
      <c r="H8" s="1"/>
      <c r="I8" s="1"/>
    </row>
    <row r="9" spans="1:9" x14ac:dyDescent="0.35">
      <c r="A9" s="1"/>
      <c r="B9" s="7" t="s">
        <v>241</v>
      </c>
      <c r="C9" s="49">
        <v>0</v>
      </c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9" t="s">
        <v>242</v>
      </c>
      <c r="C11" s="2"/>
      <c r="D11" s="2"/>
      <c r="E11" s="2"/>
      <c r="F11" s="2"/>
      <c r="G11" s="2"/>
      <c r="H11" s="2"/>
      <c r="I11" s="2"/>
    </row>
    <row r="12" spans="1:9" x14ac:dyDescent="0.35">
      <c r="A12" s="1"/>
      <c r="B12" s="16" t="s">
        <v>243</v>
      </c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23">
        <f>ValuePerShare</f>
        <v>81.404733498186744</v>
      </c>
      <c r="C13" s="52">
        <v>-0.01</v>
      </c>
      <c r="D13" s="52">
        <v>-5.0000000000000001E-3</v>
      </c>
      <c r="E13" s="52">
        <v>0</v>
      </c>
      <c r="F13" s="52">
        <v>5.0000000000000001E-3</v>
      </c>
      <c r="G13" s="52">
        <v>0.01</v>
      </c>
      <c r="H13" s="1"/>
      <c r="I13" s="16" t="s">
        <v>244</v>
      </c>
    </row>
    <row r="14" spans="1:9" x14ac:dyDescent="0.35">
      <c r="A14" s="1"/>
      <c r="B14" s="52">
        <v>-0.02</v>
      </c>
      <c r="C14" s="81">
        <f t="dataTable" ref="C14:G22" dt2D="1" dtr="1" r1="C6" r2="C5" ca="1"/>
        <v>122.77681400287113</v>
      </c>
      <c r="D14" s="81">
        <v>104.9048362470314</v>
      </c>
      <c r="E14" s="81">
        <v>91.86897798758929</v>
      </c>
      <c r="F14" s="81">
        <v>81.938055395273864</v>
      </c>
      <c r="G14" s="81">
        <v>74.119126758973081</v>
      </c>
      <c r="H14" s="1"/>
      <c r="I14" s="6" t="s">
        <v>68</v>
      </c>
    </row>
    <row r="15" spans="1:9" x14ac:dyDescent="0.35">
      <c r="A15" s="1"/>
      <c r="B15" s="52">
        <v>-1.4999999999999999E-2</v>
      </c>
      <c r="C15" s="81">
        <v>119.03495222773768</v>
      </c>
      <c r="D15" s="81">
        <v>101.73148897140808</v>
      </c>
      <c r="E15" s="81">
        <v>89.11029750361493</v>
      </c>
      <c r="F15" s="81">
        <v>79.495266652639899</v>
      </c>
      <c r="G15" s="81">
        <v>71.925042312282997</v>
      </c>
      <c r="H15" s="1"/>
      <c r="I15" s="31">
        <f>SharePrice</f>
        <v>148.68</v>
      </c>
    </row>
    <row r="16" spans="1:9" x14ac:dyDescent="0.35">
      <c r="A16" s="1"/>
      <c r="B16" s="52">
        <v>-0.01</v>
      </c>
      <c r="C16" s="81">
        <v>115.42577652491045</v>
      </c>
      <c r="D16" s="81">
        <v>98.670544319580031</v>
      </c>
      <c r="E16" s="81">
        <v>86.449225492141395</v>
      </c>
      <c r="F16" s="81">
        <v>77.138816536192152</v>
      </c>
      <c r="G16" s="81">
        <v>69.80842390458217</v>
      </c>
      <c r="H16" s="1"/>
      <c r="I16" s="1"/>
    </row>
    <row r="17" spans="1:9" x14ac:dyDescent="0.35">
      <c r="A17" s="1"/>
      <c r="B17" s="52">
        <v>-5.0000000000000001E-3</v>
      </c>
      <c r="C17" s="81">
        <v>111.94406442504322</v>
      </c>
      <c r="D17" s="81">
        <v>95.717582261492865</v>
      </c>
      <c r="E17" s="81">
        <v>83.88192718601168</v>
      </c>
      <c r="F17" s="81">
        <v>74.865316107330571</v>
      </c>
      <c r="G17" s="81">
        <v>67.766233581421417</v>
      </c>
      <c r="H17" s="1"/>
      <c r="I17" s="1"/>
    </row>
    <row r="18" spans="1:9" x14ac:dyDescent="0.35">
      <c r="A18" s="1"/>
      <c r="B18" s="52">
        <v>0</v>
      </c>
      <c r="C18" s="81">
        <v>108.58481943861833</v>
      </c>
      <c r="D18" s="81">
        <v>92.868373878274269</v>
      </c>
      <c r="E18" s="81">
        <v>81.404733498186744</v>
      </c>
      <c r="F18" s="81">
        <v>72.671522735748425</v>
      </c>
      <c r="G18" s="81">
        <v>65.795564446369596</v>
      </c>
      <c r="H18" s="1"/>
      <c r="I18" s="1"/>
    </row>
    <row r="19" spans="1:9" x14ac:dyDescent="0.35">
      <c r="A19" s="1"/>
      <c r="B19" s="52">
        <v>5.0000000000000001E-3</v>
      </c>
      <c r="C19" s="81">
        <v>105.34326039392425</v>
      </c>
      <c r="D19" s="81">
        <v>90.118872351183995</v>
      </c>
      <c r="E19" s="81">
        <v>79.014133214787648</v>
      </c>
      <c r="F19" s="81">
        <v>70.554333209656136</v>
      </c>
      <c r="G19" s="81">
        <v>63.893634493259064</v>
      </c>
      <c r="H19" s="1"/>
      <c r="I19" s="1"/>
    </row>
    <row r="20" spans="1:9" x14ac:dyDescent="0.35">
      <c r="A20" s="1"/>
      <c r="B20" s="52">
        <v>0.01</v>
      </c>
      <c r="C20" s="81">
        <v>102.21481131972538</v>
      </c>
      <c r="D20" s="81">
        <v>87.465204410656739</v>
      </c>
      <c r="E20" s="81">
        <v>76.706765586533336</v>
      </c>
      <c r="F20" s="81">
        <v>68.51077719740465</v>
      </c>
      <c r="G20" s="81">
        <v>62.057780752835619</v>
      </c>
      <c r="H20" s="1"/>
      <c r="I20" s="1"/>
    </row>
    <row r="21" spans="1:9" x14ac:dyDescent="0.35">
      <c r="A21" s="1"/>
      <c r="B21" s="52">
        <v>1.4999999999999999E-2</v>
      </c>
      <c r="C21" s="81">
        <v>99.195091842671317</v>
      </c>
      <c r="D21" s="81">
        <v>84.903662220150565</v>
      </c>
      <c r="E21" s="81">
        <v>74.479413296686232</v>
      </c>
      <c r="F21" s="81">
        <v>66.538011041211774</v>
      </c>
      <c r="G21" s="81">
        <v>60.285453736556484</v>
      </c>
      <c r="H21" s="1"/>
      <c r="I21" s="1"/>
    </row>
    <row r="22" spans="1:9" x14ac:dyDescent="0.35">
      <c r="A22" s="1"/>
      <c r="B22" s="52">
        <v>0.02</v>
      </c>
      <c r="C22" s="81">
        <v>96.279908071262483</v>
      </c>
      <c r="D22" s="81">
        <v>82.43069567100514</v>
      </c>
      <c r="E22" s="81">
        <v>72.328995784911484</v>
      </c>
      <c r="F22" s="81">
        <v>64.633311864834965</v>
      </c>
      <c r="G22" s="81">
        <v>58.574212161297694</v>
      </c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9" t="s">
        <v>245</v>
      </c>
      <c r="C25" s="2"/>
      <c r="D25" s="2"/>
      <c r="E25" s="2"/>
      <c r="F25" s="2"/>
      <c r="G25" s="2"/>
      <c r="H25" s="2"/>
      <c r="I25" s="2"/>
    </row>
    <row r="26" spans="1:9" x14ac:dyDescent="0.35">
      <c r="A26" s="1"/>
      <c r="B26" s="16" t="s">
        <v>246</v>
      </c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23">
        <f>ValuePerShare</f>
        <v>81.404733498186744</v>
      </c>
      <c r="C27" s="53">
        <v>-0.1</v>
      </c>
      <c r="D27" s="53">
        <v>-0.05</v>
      </c>
      <c r="E27" s="53">
        <v>0</v>
      </c>
      <c r="F27" s="53">
        <v>0.05</v>
      </c>
      <c r="G27" s="53">
        <v>0.1</v>
      </c>
      <c r="H27" s="1"/>
      <c r="I27" s="1"/>
    </row>
    <row r="28" spans="1:9" x14ac:dyDescent="0.35">
      <c r="A28" s="1"/>
      <c r="B28" s="54">
        <v>0.75</v>
      </c>
      <c r="C28" s="81">
        <f t="dataTable" ref="C28:G34" dt2D="1" dtr="1" r1="C8" r2="C7" ca="1"/>
        <v>46.487603378638497</v>
      </c>
      <c r="D28" s="81">
        <v>54.532627096431952</v>
      </c>
      <c r="E28" s="81">
        <v>62.5776508142254</v>
      </c>
      <c r="F28" s="81">
        <v>70.622674532018834</v>
      </c>
      <c r="G28" s="81">
        <v>78.66769824981229</v>
      </c>
      <c r="H28" s="1"/>
      <c r="I28" s="1"/>
    </row>
    <row r="29" spans="1:9" x14ac:dyDescent="0.35">
      <c r="A29" s="1"/>
      <c r="B29" s="54">
        <v>1</v>
      </c>
      <c r="C29" s="81">
        <v>60.014314329900714</v>
      </c>
      <c r="D29" s="81">
        <v>70.709523914043757</v>
      </c>
      <c r="E29" s="81">
        <v>81.404733498186744</v>
      </c>
      <c r="F29" s="81">
        <v>92.099943082329801</v>
      </c>
      <c r="G29" s="81">
        <v>102.79515266647283</v>
      </c>
      <c r="H29" s="1"/>
      <c r="I29" s="1"/>
    </row>
    <row r="30" spans="1:9" x14ac:dyDescent="0.35">
      <c r="A30" s="1"/>
      <c r="B30" s="54">
        <v>1.25</v>
      </c>
      <c r="C30" s="81">
        <v>73.541025281162931</v>
      </c>
      <c r="D30" s="81">
        <v>86.886420731655534</v>
      </c>
      <c r="E30" s="81">
        <v>100.23181618214812</v>
      </c>
      <c r="F30" s="81">
        <v>113.57721163264074</v>
      </c>
      <c r="G30" s="81">
        <v>126.92260708313334</v>
      </c>
      <c r="H30" s="1"/>
      <c r="I30" s="1"/>
    </row>
    <row r="31" spans="1:9" x14ac:dyDescent="0.35">
      <c r="A31" s="1"/>
      <c r="B31" s="54">
        <v>1.5</v>
      </c>
      <c r="C31" s="81">
        <v>87.067736232425119</v>
      </c>
      <c r="D31" s="81">
        <v>103.06331754926732</v>
      </c>
      <c r="E31" s="81">
        <v>119.0588988661095</v>
      </c>
      <c r="F31" s="81">
        <v>135.05448018295166</v>
      </c>
      <c r="G31" s="81">
        <v>151.05006149979388</v>
      </c>
      <c r="H31" s="1"/>
      <c r="I31" s="1"/>
    </row>
    <row r="32" spans="1:9" x14ac:dyDescent="0.35">
      <c r="A32" s="1"/>
      <c r="B32" s="54">
        <v>1.75</v>
      </c>
      <c r="C32" s="81">
        <v>100.59444718368735</v>
      </c>
      <c r="D32" s="81">
        <v>119.24021436687912</v>
      </c>
      <c r="E32" s="81">
        <v>137.88598155007085</v>
      </c>
      <c r="F32" s="81">
        <v>156.53174873326262</v>
      </c>
      <c r="G32" s="81">
        <v>175.17751591645435</v>
      </c>
      <c r="H32" s="1"/>
      <c r="I32" s="1"/>
    </row>
    <row r="33" spans="1:9" x14ac:dyDescent="0.35">
      <c r="A33" s="1"/>
      <c r="B33" s="54">
        <v>1.893</v>
      </c>
      <c r="C33" s="81">
        <v>108.33172584780937</v>
      </c>
      <c r="D33" s="81">
        <v>128.49339934655308</v>
      </c>
      <c r="E33" s="81">
        <v>148.65507284529679</v>
      </c>
      <c r="F33" s="81">
        <v>168.8167463440405</v>
      </c>
      <c r="G33" s="81">
        <v>188.97841984278423</v>
      </c>
      <c r="H33" s="1"/>
      <c r="I33" s="1"/>
    </row>
    <row r="34" spans="1:9" x14ac:dyDescent="0.35">
      <c r="A34" s="1"/>
      <c r="B34" s="54">
        <v>2</v>
      </c>
      <c r="C34" s="81">
        <v>114.12115813494958</v>
      </c>
      <c r="D34" s="81">
        <v>135.41711118449092</v>
      </c>
      <c r="E34" s="81">
        <v>156.7130642340322</v>
      </c>
      <c r="F34" s="81">
        <v>178.00901728357357</v>
      </c>
      <c r="G34" s="81">
        <v>199.30497033311491</v>
      </c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9" t="s">
        <v>247</v>
      </c>
      <c r="C37" s="2"/>
      <c r="D37" s="2"/>
      <c r="E37" s="2"/>
      <c r="F37" s="2"/>
      <c r="G37" s="2"/>
      <c r="H37" s="2"/>
      <c r="I37" s="2"/>
    </row>
    <row r="38" spans="1:9" x14ac:dyDescent="0.35">
      <c r="A38" s="1"/>
      <c r="B38" s="6" t="s">
        <v>241</v>
      </c>
      <c r="C38" s="6" t="s">
        <v>86</v>
      </c>
      <c r="D38" s="6" t="s">
        <v>248</v>
      </c>
      <c r="E38" s="1"/>
      <c r="F38" s="1"/>
      <c r="G38" s="1"/>
      <c r="H38" s="1"/>
      <c r="I38" s="1"/>
    </row>
    <row r="39" spans="1:9" x14ac:dyDescent="0.35">
      <c r="A39" s="1"/>
      <c r="B39" s="16" t="s">
        <v>249</v>
      </c>
      <c r="C39" s="23">
        <f>ValuePerShare</f>
        <v>81.404733498186744</v>
      </c>
      <c r="D39" s="29">
        <f>WACC_Initial</f>
        <v>0.10416279004284928</v>
      </c>
      <c r="E39" s="1"/>
      <c r="F39" s="1"/>
      <c r="G39" s="1"/>
      <c r="H39" s="1"/>
      <c r="I39" s="1"/>
    </row>
    <row r="40" spans="1:9" x14ac:dyDescent="0.35">
      <c r="A40" s="1"/>
      <c r="B40" s="52">
        <v>-1.4999999999999999E-2</v>
      </c>
      <c r="C40" s="81">
        <f t="dataTable" ref="C40:D46" dt2D="0" dtr="0" r1="C9"/>
        <v>102.71783025663348</v>
      </c>
      <c r="D40" s="82">
        <v>8.9228230840911055E-2</v>
      </c>
      <c r="E40" s="1"/>
      <c r="F40" s="1"/>
      <c r="G40" s="1"/>
      <c r="H40" s="1"/>
      <c r="I40" s="1"/>
    </row>
    <row r="41" spans="1:9" x14ac:dyDescent="0.35">
      <c r="A41" s="1"/>
      <c r="B41" s="52">
        <v>-0.01</v>
      </c>
      <c r="C41" s="81">
        <v>95.158209403656301</v>
      </c>
      <c r="D41" s="82">
        <v>9.4205822821066598E-2</v>
      </c>
      <c r="E41" s="1"/>
      <c r="F41" s="1"/>
      <c r="G41" s="1"/>
      <c r="H41" s="1"/>
      <c r="I41" s="1"/>
    </row>
    <row r="42" spans="1:9" x14ac:dyDescent="0.35">
      <c r="A42" s="1"/>
      <c r="B42" s="52">
        <v>-5.0000000000000001E-3</v>
      </c>
      <c r="C42" s="81">
        <v>88.06307419100925</v>
      </c>
      <c r="D42" s="82">
        <v>9.9184014598582795E-2</v>
      </c>
      <c r="E42" s="1"/>
      <c r="F42" s="1"/>
      <c r="G42" s="1"/>
      <c r="H42" s="1"/>
      <c r="I42" s="1"/>
    </row>
    <row r="43" spans="1:9" x14ac:dyDescent="0.35">
      <c r="A43" s="1"/>
      <c r="B43" s="52">
        <v>0</v>
      </c>
      <c r="C43" s="81">
        <v>81.404733498186744</v>
      </c>
      <c r="D43" s="82">
        <v>0.10416279004284928</v>
      </c>
      <c r="E43" s="1"/>
      <c r="F43" s="1"/>
      <c r="G43" s="1"/>
      <c r="H43" s="1"/>
      <c r="I43" s="1"/>
    </row>
    <row r="44" spans="1:9" x14ac:dyDescent="0.35">
      <c r="A44" s="1"/>
      <c r="B44" s="52">
        <v>5.0000000000000001E-3</v>
      </c>
      <c r="C44" s="81">
        <v>75.157179296968948</v>
      </c>
      <c r="D44" s="82">
        <v>0.10914213350014218</v>
      </c>
      <c r="E44" s="1"/>
      <c r="F44" s="1"/>
      <c r="G44" s="1"/>
      <c r="H44" s="1"/>
      <c r="I44" s="1"/>
    </row>
    <row r="45" spans="1:9" x14ac:dyDescent="0.35">
      <c r="A45" s="1"/>
      <c r="B45" s="52">
        <v>0.01</v>
      </c>
      <c r="C45" s="81">
        <v>69.295980555584535</v>
      </c>
      <c r="D45" s="82">
        <v>0.11412202977800646</v>
      </c>
      <c r="E45" s="1"/>
      <c r="F45" s="1"/>
      <c r="G45" s="1"/>
      <c r="H45" s="1"/>
      <c r="I45" s="1"/>
    </row>
    <row r="46" spans="1:9" x14ac:dyDescent="0.35">
      <c r="A46" s="1"/>
      <c r="B46" s="52">
        <v>1.4999999999999999E-2</v>
      </c>
      <c r="C46" s="81">
        <v>63.798184120901688</v>
      </c>
      <c r="D46" s="82">
        <v>0.11910246413020081</v>
      </c>
      <c r="E46" s="1"/>
      <c r="F46" s="1"/>
      <c r="G46" s="1"/>
      <c r="H46" s="1"/>
      <c r="I46" s="1"/>
    </row>
  </sheetData>
  <conditionalFormatting sqref="C14:G22">
    <cfRule type="cellIs" dxfId="4" priority="1" operator="greaterThanOrEqual">
      <formula>$I$15</formula>
    </cfRule>
  </conditionalFormatting>
  <conditionalFormatting sqref="C28:G34">
    <cfRule type="cellIs" dxfId="3" priority="2" operator="greaterThanOrEqual">
      <formula>$I$15</formula>
    </cfRule>
  </conditionalFormatting>
  <conditionalFormatting sqref="C40:C46">
    <cfRule type="cellIs" dxfId="2" priority="3" operator="greaterThanOrEqual">
      <formula>$I$15</formula>
    </cfRule>
  </conditionalFormatting>
  <printOptions horizontalCentered="1"/>
  <pageMargins left="0.75" right="0.75" top="1" bottom="1" header="0.5" footer="0.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5"/>
  <sheetViews>
    <sheetView showGridLines="0" zoomScale="85" workbookViewId="0"/>
  </sheetViews>
  <sheetFormatPr defaultRowHeight="14.5" x14ac:dyDescent="0.35"/>
  <cols>
    <col min="1" max="1" width="2" customWidth="1"/>
    <col min="2" max="2" width="38" customWidth="1"/>
    <col min="3" max="5" width="13" customWidth="1"/>
    <col min="6" max="6" width="12" customWidth="1"/>
    <col min="7" max="8" width="13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0" x14ac:dyDescent="0.4">
      <c r="A2" s="1"/>
      <c r="B2" s="17" t="s">
        <v>250</v>
      </c>
      <c r="C2" s="1"/>
      <c r="D2" s="1"/>
      <c r="E2" s="1"/>
      <c r="F2" s="1"/>
      <c r="G2" s="1"/>
      <c r="H2" s="1"/>
    </row>
    <row r="3" spans="1:8" x14ac:dyDescent="0.35">
      <c r="A3" s="1"/>
      <c r="B3" s="18" t="s">
        <v>251</v>
      </c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9" t="s">
        <v>252</v>
      </c>
      <c r="C5" s="2"/>
      <c r="D5" s="2"/>
      <c r="E5" s="2"/>
      <c r="F5" s="2"/>
      <c r="G5" s="2"/>
      <c r="H5" s="2"/>
    </row>
    <row r="6" spans="1:8" ht="26" x14ac:dyDescent="0.35">
      <c r="A6" s="1"/>
      <c r="B6" s="22" t="s">
        <v>253</v>
      </c>
      <c r="C6" s="22" t="s">
        <v>254</v>
      </c>
      <c r="D6" s="22" t="s">
        <v>183</v>
      </c>
      <c r="E6" s="22" t="s">
        <v>255</v>
      </c>
      <c r="F6" s="22" t="s">
        <v>256</v>
      </c>
      <c r="G6" s="22" t="s">
        <v>182</v>
      </c>
      <c r="H6" s="22" t="s">
        <v>257</v>
      </c>
    </row>
    <row r="7" spans="1:8" x14ac:dyDescent="0.35">
      <c r="A7" s="1"/>
      <c r="B7" s="14" t="str">
        <f>Inputs!B58</f>
        <v>Aerospace/Defense</v>
      </c>
      <c r="C7" s="26">
        <f>IF(Scenarios!$F$22=2,Inputs!$F$58,Inputs!$C$58)</f>
        <v>4056</v>
      </c>
      <c r="D7" s="46">
        <f>Inputs!$E$58</f>
        <v>3.385246124</v>
      </c>
      <c r="E7" s="26">
        <f>C7*D7</f>
        <v>13730.558278944</v>
      </c>
      <c r="F7" s="25">
        <f>E7/$E$10</f>
        <v>0.14328149372076143</v>
      </c>
      <c r="G7" s="55">
        <f>Inputs!$D$58</f>
        <v>1.1666842989999999</v>
      </c>
      <c r="H7" s="56">
        <f>F7*G7</f>
        <v>0.16716426906127943</v>
      </c>
    </row>
    <row r="8" spans="1:8" x14ac:dyDescent="0.35">
      <c r="A8" s="1"/>
      <c r="B8" s="14" t="str">
        <f>Inputs!B59</f>
        <v>Telecom. Services</v>
      </c>
      <c r="C8" s="26">
        <f>IF(Scenarios!$F$22=2,Inputs!$F$59,Inputs!$C$59)</f>
        <v>13873</v>
      </c>
      <c r="D8" s="46">
        <f>Inputs!$E$59</f>
        <v>2.263007784</v>
      </c>
      <c r="E8" s="26">
        <f>C8*D8</f>
        <v>31394.706987432</v>
      </c>
      <c r="F8" s="25">
        <f>E8/$E$10</f>
        <v>0.32761089685501416</v>
      </c>
      <c r="G8" s="55">
        <f>Inputs!$D$59</f>
        <v>0.49625571699999999</v>
      </c>
      <c r="H8" s="56">
        <f>F8*G8</f>
        <v>0.16257878051579808</v>
      </c>
    </row>
    <row r="9" spans="1:8" x14ac:dyDescent="0.35">
      <c r="A9" s="1"/>
      <c r="B9" s="14" t="str">
        <f>Inputs!B60</f>
        <v>Software (System &amp; Application)</v>
      </c>
      <c r="C9" s="26">
        <f>IF(Scenarios!$F$22=2,Inputs!$F$60,Inputs!$C$60)</f>
        <v>5115</v>
      </c>
      <c r="D9" s="46">
        <f>Inputs!$E$60</f>
        <v>9.9128027579999998</v>
      </c>
      <c r="E9" s="26">
        <f>C9*D9</f>
        <v>50703.98610717</v>
      </c>
      <c r="F9" s="25">
        <f>E9/$E$10</f>
        <v>0.52910760942422441</v>
      </c>
      <c r="G9" s="55">
        <f>Inputs!$D$60</f>
        <v>1.3309502550000001</v>
      </c>
      <c r="H9" s="56">
        <f>F9*G9</f>
        <v>0.70421590768561193</v>
      </c>
    </row>
    <row r="10" spans="1:8" x14ac:dyDescent="0.35">
      <c r="A10" s="1"/>
      <c r="B10" s="6" t="s">
        <v>258</v>
      </c>
      <c r="C10" s="57">
        <f>SUM(C7:C9)</f>
        <v>23044</v>
      </c>
      <c r="D10" s="1"/>
      <c r="E10" s="57">
        <f>SUM(E7:E9)</f>
        <v>95829.251373545994</v>
      </c>
      <c r="F10" s="58">
        <f>SUM(F7:F9)</f>
        <v>1</v>
      </c>
      <c r="G10" s="1"/>
      <c r="H10" s="59">
        <f>SUM(H7:H9)</f>
        <v>1.0339589572626895</v>
      </c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9" t="s">
        <v>259</v>
      </c>
      <c r="C12" s="2"/>
      <c r="D12" s="2"/>
      <c r="E12" s="2"/>
      <c r="F12" s="2"/>
      <c r="G12" s="2"/>
      <c r="H12" s="2"/>
    </row>
    <row r="13" spans="1:8" ht="26" x14ac:dyDescent="0.35">
      <c r="A13" s="1"/>
      <c r="B13" s="22" t="s">
        <v>260</v>
      </c>
      <c r="C13" s="22" t="s">
        <v>261</v>
      </c>
      <c r="D13" s="22" t="s">
        <v>256</v>
      </c>
      <c r="E13" s="22" t="s">
        <v>262</v>
      </c>
      <c r="F13" s="22" t="s">
        <v>263</v>
      </c>
      <c r="G13" s="1"/>
      <c r="H13" s="1"/>
    </row>
    <row r="14" spans="1:8" x14ac:dyDescent="0.35">
      <c r="A14" s="1"/>
      <c r="B14" s="14" t="str">
        <f>Inputs!B63</f>
        <v>United States</v>
      </c>
      <c r="C14" s="21">
        <f>Inputs!$C$63</f>
        <v>15207</v>
      </c>
      <c r="D14" s="25">
        <f>C14/$C$17</f>
        <v>0.48221080669710809</v>
      </c>
      <c r="E14" s="45">
        <f>Inputs!$D$63</f>
        <v>4.4200000000000003E-2</v>
      </c>
      <c r="F14" s="29">
        <f>D14*E14</f>
        <v>2.1313717656012178E-2</v>
      </c>
      <c r="G14" s="1"/>
      <c r="H14" s="1"/>
    </row>
    <row r="15" spans="1:8" x14ac:dyDescent="0.35">
      <c r="A15" s="1"/>
      <c r="B15" s="14" t="str">
        <f>Inputs!B64</f>
        <v>China</v>
      </c>
      <c r="C15" s="21">
        <f>Inputs!$C$64</f>
        <v>6662</v>
      </c>
      <c r="D15" s="25">
        <f>C15/$C$17</f>
        <v>0.21125063419583967</v>
      </c>
      <c r="E15" s="45">
        <f>Inputs!$D$64</f>
        <v>5.0700000000000002E-2</v>
      </c>
      <c r="F15" s="29">
        <f>D15*E15</f>
        <v>1.0710407153729071E-2</v>
      </c>
      <c r="G15" s="1"/>
      <c r="H15" s="1"/>
    </row>
    <row r="16" spans="1:8" x14ac:dyDescent="0.35">
      <c r="A16" s="1"/>
      <c r="B16" s="14" t="str">
        <f>Inputs!B65</f>
        <v>Rest of the world</v>
      </c>
      <c r="C16" s="21">
        <f>Inputs!$C$65</f>
        <v>9667</v>
      </c>
      <c r="D16" s="25">
        <f>C16/$C$17</f>
        <v>0.30653855910705224</v>
      </c>
      <c r="E16" s="45">
        <f>Inputs!$D$65</f>
        <v>6.1800000000000001E-2</v>
      </c>
      <c r="F16" s="29">
        <f>D16*E16</f>
        <v>1.8944082952815827E-2</v>
      </c>
      <c r="G16" s="1"/>
      <c r="H16" s="1"/>
    </row>
    <row r="17" spans="1:8" x14ac:dyDescent="0.35">
      <c r="A17" s="1"/>
      <c r="B17" s="6" t="s">
        <v>264</v>
      </c>
      <c r="C17" s="57">
        <f>SUM(C14:C16)</f>
        <v>31536</v>
      </c>
      <c r="D17" s="58">
        <f>SUM(D14:D16)</f>
        <v>1</v>
      </c>
      <c r="E17" s="1"/>
      <c r="F17" s="60">
        <f>SUM(F14:F16)</f>
        <v>5.0968207762557075E-2</v>
      </c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9" t="s">
        <v>265</v>
      </c>
      <c r="C19" s="2"/>
      <c r="D19" s="2"/>
      <c r="E19" s="2"/>
      <c r="F19" s="2"/>
      <c r="G19" s="2"/>
      <c r="H19" s="2"/>
    </row>
    <row r="20" spans="1:8" x14ac:dyDescent="0.35">
      <c r="A20" s="1"/>
      <c r="B20" s="7" t="s">
        <v>266</v>
      </c>
      <c r="C20" s="29">
        <f>Scenarios!$D$22+Sensitivity!$C$9</f>
        <v>5.1700000000000003E-2</v>
      </c>
      <c r="D20" s="1"/>
      <c r="E20" s="1"/>
      <c r="F20" s="1"/>
      <c r="G20" s="1"/>
      <c r="H20" s="1"/>
    </row>
    <row r="21" spans="1:8" x14ac:dyDescent="0.35">
      <c r="A21" s="1"/>
      <c r="B21" s="7" t="s">
        <v>198</v>
      </c>
      <c r="C21" s="14" t="str">
        <f>Inputs!$C$67</f>
        <v>Ba2/BB</v>
      </c>
      <c r="D21" s="1"/>
      <c r="E21" s="1"/>
      <c r="F21" s="1"/>
      <c r="G21" s="1"/>
      <c r="H21" s="1"/>
    </row>
    <row r="22" spans="1:8" x14ac:dyDescent="0.35">
      <c r="A22" s="1"/>
      <c r="B22" s="7" t="s">
        <v>267</v>
      </c>
      <c r="C22" s="45">
        <f>Inputs!$C$68</f>
        <v>1.8395000000000002E-2</v>
      </c>
      <c r="D22" s="1"/>
      <c r="E22" s="1"/>
      <c r="F22" s="1"/>
      <c r="G22" s="1"/>
      <c r="H22" s="1"/>
    </row>
    <row r="23" spans="1:8" x14ac:dyDescent="0.35">
      <c r="A23" s="1"/>
      <c r="B23" s="7" t="s">
        <v>268</v>
      </c>
      <c r="C23" s="29">
        <f>C20+C22</f>
        <v>7.0095000000000005E-2</v>
      </c>
      <c r="D23" s="1"/>
      <c r="E23" s="1"/>
      <c r="F23" s="1"/>
      <c r="G23" s="1"/>
      <c r="H23" s="1"/>
    </row>
    <row r="24" spans="1:8" x14ac:dyDescent="0.35">
      <c r="A24" s="1"/>
      <c r="B24" s="7" t="s">
        <v>269</v>
      </c>
      <c r="C24" s="21">
        <f>Inputs!$C$16</f>
        <v>39364</v>
      </c>
      <c r="D24" s="1"/>
      <c r="E24" s="1"/>
      <c r="F24" s="1"/>
      <c r="G24" s="1"/>
      <c r="H24" s="1"/>
    </row>
    <row r="25" spans="1:8" x14ac:dyDescent="0.35">
      <c r="A25" s="1"/>
      <c r="B25" s="7" t="s">
        <v>270</v>
      </c>
      <c r="C25" s="21">
        <f>Inputs!$C$22</f>
        <v>2380</v>
      </c>
      <c r="D25" s="1"/>
      <c r="E25" s="1"/>
      <c r="F25" s="1"/>
      <c r="G25" s="1"/>
      <c r="H25" s="1"/>
    </row>
    <row r="26" spans="1:8" x14ac:dyDescent="0.35">
      <c r="A26" s="1"/>
      <c r="B26" s="7" t="s">
        <v>271</v>
      </c>
      <c r="C26" s="61">
        <f>Inputs!$C$69</f>
        <v>3</v>
      </c>
      <c r="D26" s="1"/>
      <c r="E26" s="1"/>
      <c r="F26" s="1"/>
      <c r="G26" s="1"/>
      <c r="H26" s="1"/>
    </row>
    <row r="27" spans="1:8" x14ac:dyDescent="0.35">
      <c r="A27" s="1"/>
      <c r="B27" s="7" t="s">
        <v>272</v>
      </c>
      <c r="C27" s="26">
        <f>C25*(1-(1+C23)^(-C26))/C23+C24/(1+C23)^C26</f>
        <v>38368.98068050103</v>
      </c>
      <c r="D27" s="1"/>
      <c r="E27" s="1"/>
      <c r="F27" s="1"/>
      <c r="G27" s="1"/>
      <c r="H27" s="1"/>
    </row>
    <row r="28" spans="1:8" x14ac:dyDescent="0.35">
      <c r="A28" s="1"/>
      <c r="B28" s="1"/>
      <c r="C28" s="1"/>
      <c r="D28" s="1"/>
      <c r="E28" s="1"/>
      <c r="F28" s="1"/>
      <c r="G28" s="1"/>
      <c r="H28" s="1"/>
    </row>
    <row r="29" spans="1:8" x14ac:dyDescent="0.35">
      <c r="A29" s="1"/>
      <c r="B29" s="19" t="s">
        <v>273</v>
      </c>
      <c r="C29" s="2"/>
      <c r="D29" s="2"/>
      <c r="E29" s="2"/>
      <c r="F29" s="2"/>
      <c r="G29" s="2"/>
      <c r="H29" s="2"/>
    </row>
    <row r="30" spans="1:8" x14ac:dyDescent="0.35">
      <c r="A30" s="1"/>
      <c r="B30" s="7" t="s">
        <v>274</v>
      </c>
      <c r="C30" s="31">
        <f>Inputs!$C$7</f>
        <v>148.68</v>
      </c>
      <c r="D30" s="1"/>
      <c r="E30" s="1"/>
      <c r="F30" s="1"/>
      <c r="G30" s="1"/>
      <c r="H30" s="1"/>
    </row>
    <row r="31" spans="1:8" x14ac:dyDescent="0.35">
      <c r="A31" s="1"/>
      <c r="B31" s="7" t="s">
        <v>67</v>
      </c>
      <c r="C31" s="21">
        <f>Inputs!$C$8</f>
        <v>13181.78</v>
      </c>
      <c r="D31" s="1"/>
      <c r="E31" s="1"/>
      <c r="F31" s="1"/>
      <c r="G31" s="1"/>
      <c r="H31" s="1"/>
    </row>
    <row r="32" spans="1:8" x14ac:dyDescent="0.35">
      <c r="A32" s="1"/>
      <c r="B32" s="7" t="s">
        <v>275</v>
      </c>
      <c r="C32" s="26">
        <f>C30*C31</f>
        <v>1959867.0504000003</v>
      </c>
      <c r="D32" s="1"/>
      <c r="E32" s="1"/>
      <c r="F32" s="1"/>
      <c r="G32" s="1"/>
      <c r="H32" s="1"/>
    </row>
    <row r="33" spans="1:8" x14ac:dyDescent="0.35">
      <c r="A33" s="1"/>
      <c r="B33" s="7" t="s">
        <v>272</v>
      </c>
      <c r="C33" s="26">
        <f>C27</f>
        <v>38368.98068050103</v>
      </c>
      <c r="D33" s="1"/>
      <c r="E33" s="1"/>
      <c r="F33" s="1"/>
      <c r="G33" s="1"/>
      <c r="H33" s="1"/>
    </row>
    <row r="34" spans="1:8" x14ac:dyDescent="0.35">
      <c r="A34" s="1"/>
      <c r="B34" s="7" t="s">
        <v>276</v>
      </c>
      <c r="C34" s="29">
        <f>C33/C32</f>
        <v>1.9577338510114801E-2</v>
      </c>
      <c r="D34" s="1"/>
      <c r="E34" s="1"/>
      <c r="F34" s="1"/>
      <c r="G34" s="1"/>
      <c r="H34" s="1"/>
    </row>
    <row r="35" spans="1:8" x14ac:dyDescent="0.35">
      <c r="A35" s="1"/>
      <c r="B35" s="7" t="s">
        <v>277</v>
      </c>
      <c r="C35" s="29">
        <f>C33/(C32+C33)</f>
        <v>1.9201425699322348E-2</v>
      </c>
      <c r="D35" s="1"/>
      <c r="E35" s="1"/>
      <c r="F35" s="1"/>
      <c r="G35" s="1"/>
      <c r="H35" s="1"/>
    </row>
    <row r="36" spans="1:8" x14ac:dyDescent="0.35">
      <c r="A36" s="1"/>
      <c r="B36" s="7" t="s">
        <v>278</v>
      </c>
      <c r="C36" s="29">
        <f>C32/(C32+C33)</f>
        <v>0.98079857430067763</v>
      </c>
      <c r="D36" s="1"/>
      <c r="E36" s="1"/>
      <c r="F36" s="1"/>
      <c r="G36" s="1"/>
      <c r="H36" s="1"/>
    </row>
    <row r="37" spans="1:8" x14ac:dyDescent="0.35">
      <c r="A37" s="1"/>
      <c r="B37" s="1"/>
      <c r="C37" s="1"/>
      <c r="D37" s="1"/>
      <c r="E37" s="1"/>
      <c r="F37" s="1"/>
      <c r="G37" s="1"/>
      <c r="H37" s="1"/>
    </row>
    <row r="38" spans="1:8" x14ac:dyDescent="0.35">
      <c r="A38" s="1"/>
      <c r="B38" s="19" t="s">
        <v>208</v>
      </c>
      <c r="C38" s="2"/>
      <c r="D38" s="2"/>
      <c r="E38" s="2"/>
      <c r="F38" s="2"/>
      <c r="G38" s="2"/>
      <c r="H38" s="2"/>
    </row>
    <row r="39" spans="1:8" x14ac:dyDescent="0.35">
      <c r="A39" s="1"/>
      <c r="B39" s="7" t="s">
        <v>182</v>
      </c>
      <c r="C39" s="56">
        <f>H10</f>
        <v>1.0339589572626895</v>
      </c>
      <c r="D39" s="1"/>
      <c r="E39" s="1"/>
      <c r="F39" s="1"/>
      <c r="G39" s="1"/>
      <c r="H39" s="1"/>
    </row>
    <row r="40" spans="1:8" x14ac:dyDescent="0.35">
      <c r="A40" s="1"/>
      <c r="B40" s="7" t="s">
        <v>148</v>
      </c>
      <c r="C40" s="33">
        <f>Inputs!$C$38</f>
        <v>0.25</v>
      </c>
      <c r="D40" s="1"/>
      <c r="E40" s="1"/>
      <c r="F40" s="1"/>
      <c r="G40" s="1"/>
      <c r="H40" s="1"/>
    </row>
    <row r="41" spans="1:8" x14ac:dyDescent="0.35">
      <c r="A41" s="1"/>
      <c r="B41" s="7" t="s">
        <v>279</v>
      </c>
      <c r="C41" s="56">
        <f>C39*(1+(1-C40)*C34)</f>
        <v>1.0491405806466121</v>
      </c>
      <c r="D41" s="1"/>
      <c r="E41" s="1"/>
      <c r="F41" s="1"/>
      <c r="G41" s="1"/>
      <c r="H41" s="1"/>
    </row>
    <row r="42" spans="1:8" x14ac:dyDescent="0.35">
      <c r="A42" s="1"/>
      <c r="B42" s="7" t="s">
        <v>280</v>
      </c>
      <c r="C42" s="29">
        <f>F17</f>
        <v>5.0968207762557075E-2</v>
      </c>
      <c r="D42" s="1"/>
      <c r="E42" s="1"/>
      <c r="F42" s="1"/>
      <c r="G42" s="1"/>
      <c r="H42" s="1"/>
    </row>
    <row r="43" spans="1:8" x14ac:dyDescent="0.35">
      <c r="A43" s="1"/>
      <c r="B43" s="7" t="s">
        <v>281</v>
      </c>
      <c r="C43" s="29">
        <f>C20+C41*C42</f>
        <v>0.10517281508652629</v>
      </c>
      <c r="D43" s="1"/>
      <c r="E43" s="1"/>
      <c r="F43" s="1"/>
      <c r="G43" s="1"/>
      <c r="H43" s="1"/>
    </row>
    <row r="44" spans="1:8" x14ac:dyDescent="0.35">
      <c r="A44" s="1"/>
      <c r="B44" s="7" t="s">
        <v>282</v>
      </c>
      <c r="C44" s="29">
        <f>C23*(1-C40)</f>
        <v>5.257125E-2</v>
      </c>
      <c r="D44" s="1"/>
      <c r="E44" s="1"/>
      <c r="F44" s="1"/>
      <c r="G44" s="1"/>
      <c r="H44" s="1"/>
    </row>
    <row r="45" spans="1:8" x14ac:dyDescent="0.35">
      <c r="A45" s="1"/>
      <c r="B45" s="6" t="s">
        <v>283</v>
      </c>
      <c r="C45" s="62">
        <f>C36*C43+C35*C44</f>
        <v>0.10416279004284928</v>
      </c>
      <c r="D45" s="1"/>
      <c r="E45" s="1"/>
      <c r="F45" s="1"/>
      <c r="G45" s="1"/>
      <c r="H45" s="1"/>
    </row>
  </sheetData>
  <printOptions horizontalCentered="1"/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4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34" customWidth="1"/>
    <col min="3" max="14" width="12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x14ac:dyDescent="0.4">
      <c r="A2" s="1"/>
      <c r="B2" s="17" t="s">
        <v>284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1"/>
      <c r="B3" s="18" t="s">
        <v>285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22"/>
      <c r="C4" s="22" t="s">
        <v>286</v>
      </c>
      <c r="D4" s="22" t="s">
        <v>287</v>
      </c>
      <c r="E4" s="22" t="s">
        <v>288</v>
      </c>
      <c r="F4" s="22" t="s">
        <v>289</v>
      </c>
      <c r="G4" s="22" t="s">
        <v>290</v>
      </c>
      <c r="H4" s="22" t="s">
        <v>291</v>
      </c>
      <c r="I4" s="22" t="s">
        <v>292</v>
      </c>
      <c r="J4" s="22" t="s">
        <v>293</v>
      </c>
      <c r="K4" s="22" t="s">
        <v>294</v>
      </c>
      <c r="L4" s="22" t="s">
        <v>295</v>
      </c>
      <c r="M4" s="22" t="s">
        <v>296</v>
      </c>
    </row>
    <row r="5" spans="1:13" x14ac:dyDescent="0.35">
      <c r="A5" s="1"/>
      <c r="B5" s="7" t="s">
        <v>297</v>
      </c>
      <c r="C5" s="63">
        <v>0</v>
      </c>
      <c r="D5" s="63">
        <v>1</v>
      </c>
      <c r="E5" s="63">
        <v>2</v>
      </c>
      <c r="F5" s="63">
        <v>3</v>
      </c>
      <c r="G5" s="63">
        <v>4</v>
      </c>
      <c r="H5" s="63">
        <v>5</v>
      </c>
      <c r="I5" s="63">
        <v>6</v>
      </c>
      <c r="J5" s="63">
        <v>7</v>
      </c>
      <c r="K5" s="63">
        <v>8</v>
      </c>
      <c r="L5" s="63">
        <v>9</v>
      </c>
      <c r="M5" s="63">
        <v>10</v>
      </c>
    </row>
    <row r="6" spans="1:13" x14ac:dyDescent="0.35">
      <c r="A6" s="1"/>
      <c r="B6" s="7" t="s">
        <v>298</v>
      </c>
      <c r="C6" s="1"/>
      <c r="D6" s="64">
        <v>0.2</v>
      </c>
      <c r="E6" s="64">
        <v>0.3</v>
      </c>
      <c r="F6" s="64">
        <v>0.4</v>
      </c>
      <c r="G6" s="64">
        <v>0.5</v>
      </c>
      <c r="H6" s="1"/>
      <c r="I6" s="64">
        <v>0.2</v>
      </c>
      <c r="J6" s="64">
        <v>0.3</v>
      </c>
      <c r="K6" s="64">
        <v>0.4</v>
      </c>
      <c r="L6" s="64">
        <v>0.5</v>
      </c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/>
      <c r="B8" s="19" t="s">
        <v>299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6" x14ac:dyDescent="0.35">
      <c r="A9" s="1"/>
      <c r="B9" s="22" t="s">
        <v>164</v>
      </c>
      <c r="C9" s="22" t="s">
        <v>300</v>
      </c>
      <c r="D9" s="22" t="s">
        <v>166</v>
      </c>
      <c r="E9" s="22" t="s">
        <v>167</v>
      </c>
      <c r="F9" s="22" t="s">
        <v>168</v>
      </c>
      <c r="G9" s="22" t="s">
        <v>301</v>
      </c>
      <c r="H9" s="22" t="s">
        <v>302</v>
      </c>
      <c r="I9" s="22" t="s">
        <v>171</v>
      </c>
      <c r="J9" s="1"/>
      <c r="K9" s="1"/>
      <c r="L9" s="1"/>
      <c r="M9" s="1"/>
    </row>
    <row r="10" spans="1:13" x14ac:dyDescent="0.35">
      <c r="A10" s="1"/>
      <c r="B10" s="14" t="str">
        <f>Inputs!$B$50</f>
        <v>Launch (Space segment)</v>
      </c>
      <c r="C10" s="21">
        <f>Inputs!$C$50</f>
        <v>4056</v>
      </c>
      <c r="D10" s="26">
        <f>Inputs!$D$50*$C$15</f>
        <v>40000</v>
      </c>
      <c r="E10" s="33">
        <f>Inputs!$E$50</f>
        <v>0.08</v>
      </c>
      <c r="F10" s="25">
        <f>Inputs!$F$50+$C$16</f>
        <v>0.45</v>
      </c>
      <c r="G10" s="46">
        <f>Inputs!$G$50</f>
        <v>3</v>
      </c>
      <c r="H10" s="46">
        <f>Inputs!$H$50</f>
        <v>4</v>
      </c>
      <c r="I10" s="61">
        <f>Inputs!$I$50</f>
        <v>0</v>
      </c>
      <c r="J10" s="1"/>
      <c r="K10" s="1"/>
      <c r="L10" s="1"/>
      <c r="M10" s="1"/>
    </row>
    <row r="11" spans="1:13" x14ac:dyDescent="0.35">
      <c r="A11" s="1"/>
      <c r="B11" s="14" t="str">
        <f>Inputs!$B$51</f>
        <v>Starlink (Connectivity segment)</v>
      </c>
      <c r="C11" s="21">
        <f>Inputs!$C$51</f>
        <v>13873</v>
      </c>
      <c r="D11" s="26">
        <f>Inputs!$D$51*$C$15</f>
        <v>120000</v>
      </c>
      <c r="E11" s="33">
        <f>Inputs!$E$51</f>
        <v>0.1</v>
      </c>
      <c r="F11" s="25">
        <f>Scenarios!$H$22+$C$16</f>
        <v>0.6</v>
      </c>
      <c r="G11" s="46">
        <f>Inputs!$G$51</f>
        <v>3</v>
      </c>
      <c r="H11" s="46">
        <f>Inputs!$H$51</f>
        <v>5</v>
      </c>
      <c r="I11" s="61">
        <f>Inputs!$I$51</f>
        <v>0</v>
      </c>
      <c r="J11" s="1"/>
      <c r="K11" s="1"/>
      <c r="L11" s="1"/>
      <c r="M11" s="1"/>
    </row>
    <row r="12" spans="1:13" x14ac:dyDescent="0.35">
      <c r="A12" s="1"/>
      <c r="B12" s="14" t="str">
        <f>Inputs!$B$52</f>
        <v>xAI (AI segment)</v>
      </c>
      <c r="C12" s="21">
        <f>Inputs!$C$52</f>
        <v>5115</v>
      </c>
      <c r="D12" s="26">
        <f>Scenarios!$G$22*$C$15</f>
        <v>160000</v>
      </c>
      <c r="E12" s="33">
        <f>Inputs!$E$52</f>
        <v>-0.05</v>
      </c>
      <c r="F12" s="25">
        <f>Inputs!$F$52+$C$16</f>
        <v>0.25</v>
      </c>
      <c r="G12" s="46">
        <f>Scenarios!$I$22</f>
        <v>1.5</v>
      </c>
      <c r="H12" s="46">
        <f>Inputs!$H$52</f>
        <v>2.5</v>
      </c>
      <c r="I12" s="61">
        <f>Inputs!$I$52</f>
        <v>0</v>
      </c>
      <c r="J12" s="1"/>
      <c r="K12" s="1"/>
      <c r="L12" s="1"/>
      <c r="M12" s="1"/>
    </row>
    <row r="13" spans="1:13" x14ac:dyDescent="0.35">
      <c r="A13" s="1"/>
      <c r="B13" s="14" t="str">
        <f>Inputs!$B$53</f>
        <v>Other (expansion options)</v>
      </c>
      <c r="C13" s="21">
        <f>Inputs!$C$53</f>
        <v>0</v>
      </c>
      <c r="D13" s="26">
        <f>Inputs!$D$53*$C$15</f>
        <v>100000</v>
      </c>
      <c r="E13" s="33">
        <f>Inputs!$E$53</f>
        <v>0</v>
      </c>
      <c r="F13" s="25">
        <f>Inputs!$F$53+$C$16</f>
        <v>0.3</v>
      </c>
      <c r="G13" s="46">
        <f>Inputs!$G$53</f>
        <v>5</v>
      </c>
      <c r="H13" s="46">
        <f>Inputs!$H$53</f>
        <v>5</v>
      </c>
      <c r="I13" s="61">
        <f>Inputs!$I$53</f>
        <v>1</v>
      </c>
      <c r="J13" s="1"/>
      <c r="K13" s="1"/>
      <c r="L13" s="1"/>
      <c r="M13" s="1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7" t="s">
        <v>303</v>
      </c>
      <c r="C15" s="48">
        <f>Scenarios!$J$22*Sensitivity!$C$7</f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7" t="s">
        <v>304</v>
      </c>
      <c r="C16" s="33">
        <f>Sensitivity!$C$8</f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/>
      <c r="B17" s="7" t="s">
        <v>178</v>
      </c>
      <c r="C17" s="61">
        <f>Inputs!$C$54</f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9" t="str">
        <f>B10</f>
        <v>Launch (Space segment)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5">
      <c r="A21" s="1"/>
      <c r="B21" s="65" t="s">
        <v>261</v>
      </c>
      <c r="C21" s="26">
        <f>IF($I$10=1,0,$C$10)</f>
        <v>4056</v>
      </c>
      <c r="D21" s="26">
        <f>IF($I$10=1,IF(D$5&gt;5,(D$5-5)*$D$10/5,0),C21+($H21-C21)*D$6)</f>
        <v>6452.2666666666664</v>
      </c>
      <c r="E21" s="26">
        <f>IF($I$10=1,IF(E$5&gt;5,(E$5-5)*$D$10/5,0),D21+($H21-D21)*E$6)</f>
        <v>9327.7866666666669</v>
      </c>
      <c r="F21" s="26">
        <f>IF($I$10=1,IF(F$5&gt;5,(F$5-5)*$D$10/5,0),E21+($H21-E21)*F$6)</f>
        <v>12011.605333333333</v>
      </c>
      <c r="G21" s="26">
        <f>IF($I$10=1,IF(G$5&gt;5,(G$5-5)*$D$10/5,0),F21+($H21-F21)*G$6)</f>
        <v>14024.469333333334</v>
      </c>
      <c r="H21" s="26">
        <f>IF($I$10=1,IF(H$5&gt;5,(H$5-5)*$D$10/5,0),$C21+($D$10-$C21)/3)</f>
        <v>16037.333333333334</v>
      </c>
      <c r="I21" s="26">
        <f>IF($I$10=1,IF(I$5&gt;5,(I$5-5)*$D$10/5,0),H21+($D$10-H21)*I$6)</f>
        <v>20829.866666666669</v>
      </c>
      <c r="J21" s="26">
        <f>IF($I$10=1,IF(J$5&gt;5,(J$5-5)*$D$10/5,0),I21+($D$10-I21)*J$6)</f>
        <v>26580.906666666669</v>
      </c>
      <c r="K21" s="26">
        <f>IF($I$10=1,IF(K$5&gt;5,(K$5-5)*$D$10/5,0),J21+($D$10-J21)*K$6)</f>
        <v>31948.544000000002</v>
      </c>
      <c r="L21" s="26">
        <f>IF($I$10=1,IF(L$5&gt;5,(L$5-5)*$D$10/5,0),K21+($D$10-K21)*L$6)</f>
        <v>35974.271999999997</v>
      </c>
      <c r="M21" s="26">
        <f>IF($I$10=1,IF(M$5&gt;5,(M$5-5)*$D$10/5,0),$D$10)</f>
        <v>40000</v>
      </c>
    </row>
    <row r="22" spans="1:13" x14ac:dyDescent="0.35">
      <c r="A22" s="1"/>
      <c r="B22" s="65" t="s">
        <v>305</v>
      </c>
      <c r="C22" s="25">
        <f>$E$10</f>
        <v>0.08</v>
      </c>
      <c r="D22" s="25">
        <f t="shared" ref="D22:M22" si="0">IF(D$5&gt;$C$17,$F$10,$F$10-($F$10-$E$10)/$C$17*($C$17-D$5))</f>
        <v>0.11700000000000005</v>
      </c>
      <c r="E22" s="25">
        <f t="shared" si="0"/>
        <v>0.15400000000000003</v>
      </c>
      <c r="F22" s="25">
        <f t="shared" si="0"/>
        <v>0.191</v>
      </c>
      <c r="G22" s="25">
        <f t="shared" si="0"/>
        <v>0.22800000000000004</v>
      </c>
      <c r="H22" s="25">
        <f t="shared" si="0"/>
        <v>0.26500000000000001</v>
      </c>
      <c r="I22" s="25">
        <f t="shared" si="0"/>
        <v>0.30200000000000005</v>
      </c>
      <c r="J22" s="25">
        <f t="shared" si="0"/>
        <v>0.33900000000000002</v>
      </c>
      <c r="K22" s="25">
        <f t="shared" si="0"/>
        <v>0.376</v>
      </c>
      <c r="L22" s="25">
        <f t="shared" si="0"/>
        <v>0.41300000000000003</v>
      </c>
      <c r="M22" s="25">
        <f t="shared" si="0"/>
        <v>0.45</v>
      </c>
    </row>
    <row r="23" spans="1:13" x14ac:dyDescent="0.35">
      <c r="A23" s="1"/>
      <c r="B23" s="65" t="s">
        <v>306</v>
      </c>
      <c r="C23" s="1"/>
      <c r="D23" s="26">
        <f t="shared" ref="D23:M23" si="1">D21*D22</f>
        <v>754.91520000000025</v>
      </c>
      <c r="E23" s="26">
        <f t="shared" si="1"/>
        <v>1436.479146666667</v>
      </c>
      <c r="F23" s="26">
        <f t="shared" si="1"/>
        <v>2294.2166186666668</v>
      </c>
      <c r="G23" s="26">
        <f t="shared" si="1"/>
        <v>3197.5790080000006</v>
      </c>
      <c r="H23" s="26">
        <f t="shared" si="1"/>
        <v>4249.8933333333334</v>
      </c>
      <c r="I23" s="26">
        <f t="shared" si="1"/>
        <v>6290.6197333333348</v>
      </c>
      <c r="J23" s="26">
        <f t="shared" si="1"/>
        <v>9010.9273600000015</v>
      </c>
      <c r="K23" s="26">
        <f t="shared" si="1"/>
        <v>12012.652544</v>
      </c>
      <c r="L23" s="26">
        <f t="shared" si="1"/>
        <v>14857.374336000001</v>
      </c>
      <c r="M23" s="26">
        <f t="shared" si="1"/>
        <v>18000</v>
      </c>
    </row>
    <row r="24" spans="1:13" x14ac:dyDescent="0.35">
      <c r="A24" s="1"/>
      <c r="B24" s="65" t="s">
        <v>307</v>
      </c>
      <c r="C24" s="1"/>
      <c r="D24" s="26">
        <f t="shared" ref="D24:M24" si="2">(D21-C21)/IF(D$5&lt;=5,$G$10,$H$10)</f>
        <v>798.75555555555547</v>
      </c>
      <c r="E24" s="26">
        <f t="shared" si="2"/>
        <v>958.50666666666677</v>
      </c>
      <c r="F24" s="26">
        <f t="shared" si="2"/>
        <v>894.60622222222207</v>
      </c>
      <c r="G24" s="26">
        <f t="shared" si="2"/>
        <v>670.95466666666709</v>
      </c>
      <c r="H24" s="26">
        <f t="shared" si="2"/>
        <v>670.95466666666653</v>
      </c>
      <c r="I24" s="26">
        <f t="shared" si="2"/>
        <v>1198.1333333333337</v>
      </c>
      <c r="J24" s="26">
        <f t="shared" si="2"/>
        <v>1437.7600000000002</v>
      </c>
      <c r="K24" s="26">
        <f t="shared" si="2"/>
        <v>1341.9093333333331</v>
      </c>
      <c r="L24" s="26">
        <f t="shared" si="2"/>
        <v>1006.4319999999989</v>
      </c>
      <c r="M24" s="26">
        <f t="shared" si="2"/>
        <v>1006.4320000000007</v>
      </c>
    </row>
    <row r="25" spans="1:1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1"/>
      <c r="B26" s="19" t="str">
        <f>B11</f>
        <v>Starlink (Connectivity segment)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5">
      <c r="A27" s="1"/>
      <c r="B27" s="65" t="s">
        <v>261</v>
      </c>
      <c r="C27" s="26">
        <f>IF($I$11=1,0,$C$11)</f>
        <v>13873</v>
      </c>
      <c r="D27" s="26">
        <f>IF($I$11=1,IF(D$5&gt;5,(D$5-5)*$D$11/5,0),C27+($H27-C27)*D$6)</f>
        <v>20948.133333333331</v>
      </c>
      <c r="E27" s="26">
        <f>IF($I$11=1,IF(E$5&gt;5,(E$5-5)*$D$11/5,0),D27+($H27-D27)*E$6)</f>
        <v>29438.293333333331</v>
      </c>
      <c r="F27" s="26">
        <f>IF($I$11=1,IF(F$5&gt;5,(F$5-5)*$D$11/5,0),E27+($H27-E27)*F$6)</f>
        <v>37362.442666666662</v>
      </c>
      <c r="G27" s="26">
        <f>IF($I$11=1,IF(G$5&gt;5,(G$5-5)*$D$11/5,0),F27+($H27-F27)*G$6)</f>
        <v>43305.554666666663</v>
      </c>
      <c r="H27" s="26">
        <f>IF($I$11=1,IF(H$5&gt;5,(H$5-5)*$D$11/5,0),$C27+($D$11-$C27)/3)</f>
        <v>49248.666666666664</v>
      </c>
      <c r="I27" s="26">
        <f>IF($I$11=1,IF(I$5&gt;5,(I$5-5)*$D$11/5,0),H27+($D$11-H27)*I$6)</f>
        <v>63398.933333333334</v>
      </c>
      <c r="J27" s="26">
        <f>IF($I$11=1,IF(J$5&gt;5,(J$5-5)*$D$11/5,0),I27+($D$11-I27)*J$6)</f>
        <v>80379.253333333327</v>
      </c>
      <c r="K27" s="26">
        <f>IF($I$11=1,IF(K$5&gt;5,(K$5-5)*$D$11/5,0),J27+($D$11-J27)*K$6)</f>
        <v>96227.551999999996</v>
      </c>
      <c r="L27" s="26">
        <f>IF($I$11=1,IF(L$5&gt;5,(L$5-5)*$D$11/5,0),K27+($D$11-K27)*L$6)</f>
        <v>108113.776</v>
      </c>
      <c r="M27" s="26">
        <f>IF($I$11=1,IF(M$5&gt;5,(M$5-5)*$D$11/5,0),$D$11)</f>
        <v>120000</v>
      </c>
    </row>
    <row r="28" spans="1:13" x14ac:dyDescent="0.35">
      <c r="A28" s="1"/>
      <c r="B28" s="65" t="s">
        <v>305</v>
      </c>
      <c r="C28" s="25">
        <f>$E$11</f>
        <v>0.1</v>
      </c>
      <c r="D28" s="25">
        <f t="shared" ref="D28:M28" si="3">IF(D$5&gt;$C$17,$F$11,$F$11-($F$11-$E$11)/$C$17*($C$17-D$5))</f>
        <v>0.14999999999999997</v>
      </c>
      <c r="E28" s="25">
        <f t="shared" si="3"/>
        <v>0.19999999999999996</v>
      </c>
      <c r="F28" s="25">
        <f t="shared" si="3"/>
        <v>0.24999999999999994</v>
      </c>
      <c r="G28" s="25">
        <f t="shared" si="3"/>
        <v>0.29999999999999993</v>
      </c>
      <c r="H28" s="25">
        <f t="shared" si="3"/>
        <v>0.35</v>
      </c>
      <c r="I28" s="25">
        <f t="shared" si="3"/>
        <v>0.39999999999999997</v>
      </c>
      <c r="J28" s="25">
        <f t="shared" si="3"/>
        <v>0.44999999999999996</v>
      </c>
      <c r="K28" s="25">
        <f t="shared" si="3"/>
        <v>0.5</v>
      </c>
      <c r="L28" s="25">
        <f t="shared" si="3"/>
        <v>0.54999999999999993</v>
      </c>
      <c r="M28" s="25">
        <f t="shared" si="3"/>
        <v>0.6</v>
      </c>
    </row>
    <row r="29" spans="1:13" x14ac:dyDescent="0.35">
      <c r="A29" s="1"/>
      <c r="B29" s="65" t="s">
        <v>306</v>
      </c>
      <c r="C29" s="1"/>
      <c r="D29" s="26">
        <f t="shared" ref="D29:M29" si="4">D27*D28</f>
        <v>3142.2199999999989</v>
      </c>
      <c r="E29" s="26">
        <f t="shared" si="4"/>
        <v>5887.6586666666653</v>
      </c>
      <c r="F29" s="26">
        <f t="shared" si="4"/>
        <v>9340.6106666666637</v>
      </c>
      <c r="G29" s="26">
        <f t="shared" si="4"/>
        <v>12991.666399999996</v>
      </c>
      <c r="H29" s="26">
        <f t="shared" si="4"/>
        <v>17237.033333333333</v>
      </c>
      <c r="I29" s="26">
        <f t="shared" si="4"/>
        <v>25359.57333333333</v>
      </c>
      <c r="J29" s="26">
        <f t="shared" si="4"/>
        <v>36170.663999999997</v>
      </c>
      <c r="K29" s="26">
        <f t="shared" si="4"/>
        <v>48113.775999999998</v>
      </c>
      <c r="L29" s="26">
        <f t="shared" si="4"/>
        <v>59462.576799999995</v>
      </c>
      <c r="M29" s="26">
        <f t="shared" si="4"/>
        <v>72000</v>
      </c>
    </row>
    <row r="30" spans="1:13" x14ac:dyDescent="0.35">
      <c r="A30" s="1"/>
      <c r="B30" s="65" t="s">
        <v>307</v>
      </c>
      <c r="C30" s="1"/>
      <c r="D30" s="26">
        <f t="shared" ref="D30:M30" si="5">(D27-C27)/IF(D$5&lt;=5,$G$11,$H$11)</f>
        <v>2358.3777777777773</v>
      </c>
      <c r="E30" s="26">
        <f t="shared" si="5"/>
        <v>2830.0533333333333</v>
      </c>
      <c r="F30" s="26">
        <f t="shared" si="5"/>
        <v>2641.3831111111103</v>
      </c>
      <c r="G30" s="26">
        <f t="shared" si="5"/>
        <v>1981.0373333333337</v>
      </c>
      <c r="H30" s="26">
        <f t="shared" si="5"/>
        <v>1981.0373333333337</v>
      </c>
      <c r="I30" s="26">
        <f t="shared" si="5"/>
        <v>2830.0533333333342</v>
      </c>
      <c r="J30" s="26">
        <f t="shared" si="5"/>
        <v>3396.0639999999985</v>
      </c>
      <c r="K30" s="26">
        <f t="shared" si="5"/>
        <v>3169.6597333333339</v>
      </c>
      <c r="L30" s="26">
        <f t="shared" si="5"/>
        <v>2377.2448000000004</v>
      </c>
      <c r="M30" s="26">
        <f t="shared" si="5"/>
        <v>2377.2448000000004</v>
      </c>
    </row>
    <row r="31" spans="1:1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5">
      <c r="A32" s="1"/>
      <c r="B32" s="19" t="str">
        <f>B12</f>
        <v>xAI (AI segment)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1"/>
      <c r="B33" s="65" t="s">
        <v>261</v>
      </c>
      <c r="C33" s="26">
        <f>IF($I$12=1,0,$C$12)</f>
        <v>5115</v>
      </c>
      <c r="D33" s="26">
        <f>IF($I$12=1,IF(D$5&gt;5,(D$5-5)*$D$12/5,0),C33+($H33-C33)*D$6)</f>
        <v>15440.666666666668</v>
      </c>
      <c r="E33" s="26">
        <f>IF($I$12=1,IF(E$5&gt;5,(E$5-5)*$D$12/5,0),D33+($H33-D33)*E$6)</f>
        <v>27831.466666666667</v>
      </c>
      <c r="F33" s="26">
        <f>IF($I$12=1,IF(F$5&gt;5,(F$5-5)*$D$12/5,0),E33+($H33-E33)*F$6)</f>
        <v>39396.213333333333</v>
      </c>
      <c r="G33" s="26">
        <f>IF($I$12=1,IF(G$5&gt;5,(G$5-5)*$D$12/5,0),F33+($H33-F33)*G$6)</f>
        <v>48069.773333333331</v>
      </c>
      <c r="H33" s="26">
        <f>IF($I$12=1,IF(H$5&gt;5,(H$5-5)*$D$12/5,0),$C33+($D$12-$C33)/3)</f>
        <v>56743.333333333336</v>
      </c>
      <c r="I33" s="26">
        <f>IF($I$12=1,IF(I$5&gt;5,(I$5-5)*$D$12/5,0),H33+($D$12-H33)*I$6)</f>
        <v>77394.666666666672</v>
      </c>
      <c r="J33" s="26">
        <f>IF($I$12=1,IF(J$5&gt;5,(J$5-5)*$D$12/5,0),I33+($D$12-I33)*J$6)</f>
        <v>102176.26666666666</v>
      </c>
      <c r="K33" s="26">
        <f>IF($I$12=1,IF(K$5&gt;5,(K$5-5)*$D$12/5,0),J33+($D$12-J33)*K$6)</f>
        <v>125305.76</v>
      </c>
      <c r="L33" s="26">
        <f>IF($I$12=1,IF(L$5&gt;5,(L$5-5)*$D$12/5,0),K33+($D$12-K33)*L$6)</f>
        <v>142652.88</v>
      </c>
      <c r="M33" s="26">
        <f>IF($I$12=1,IF(M$5&gt;5,(M$5-5)*$D$12/5,0),$D$12)</f>
        <v>160000</v>
      </c>
    </row>
    <row r="34" spans="1:13" x14ac:dyDescent="0.35">
      <c r="A34" s="1"/>
      <c r="B34" s="65" t="s">
        <v>305</v>
      </c>
      <c r="C34" s="25">
        <f>$E$12</f>
        <v>-0.05</v>
      </c>
      <c r="D34" s="25">
        <f t="shared" ref="D34:M34" si="6">IF(D$5&gt;$C$17,$F$12,$F$12-($F$12-$E$12)/$C$17*($C$17-D$5))</f>
        <v>-2.0000000000000018E-2</v>
      </c>
      <c r="E34" s="25">
        <f t="shared" si="6"/>
        <v>1.0000000000000009E-2</v>
      </c>
      <c r="F34" s="25">
        <f t="shared" si="6"/>
        <v>4.0000000000000008E-2</v>
      </c>
      <c r="G34" s="25">
        <f t="shared" si="6"/>
        <v>7.0000000000000007E-2</v>
      </c>
      <c r="H34" s="25">
        <f t="shared" si="6"/>
        <v>0.1</v>
      </c>
      <c r="I34" s="25">
        <f t="shared" si="6"/>
        <v>0.13</v>
      </c>
      <c r="J34" s="25">
        <f t="shared" si="6"/>
        <v>0.16</v>
      </c>
      <c r="K34" s="25">
        <f t="shared" si="6"/>
        <v>0.19</v>
      </c>
      <c r="L34" s="25">
        <f t="shared" si="6"/>
        <v>0.22</v>
      </c>
      <c r="M34" s="25">
        <f t="shared" si="6"/>
        <v>0.25</v>
      </c>
    </row>
    <row r="35" spans="1:13" x14ac:dyDescent="0.35">
      <c r="A35" s="1"/>
      <c r="B35" s="65" t="s">
        <v>306</v>
      </c>
      <c r="C35" s="1"/>
      <c r="D35" s="26">
        <f t="shared" ref="D35:M35" si="7">D33*D34</f>
        <v>-308.81333333333362</v>
      </c>
      <c r="E35" s="26">
        <f t="shared" si="7"/>
        <v>278.31466666666694</v>
      </c>
      <c r="F35" s="26">
        <f t="shared" si="7"/>
        <v>1575.8485333333335</v>
      </c>
      <c r="G35" s="26">
        <f t="shared" si="7"/>
        <v>3364.8841333333335</v>
      </c>
      <c r="H35" s="26">
        <f t="shared" si="7"/>
        <v>5674.3333333333339</v>
      </c>
      <c r="I35" s="26">
        <f t="shared" si="7"/>
        <v>10061.306666666667</v>
      </c>
      <c r="J35" s="26">
        <f t="shared" si="7"/>
        <v>16348.202666666666</v>
      </c>
      <c r="K35" s="26">
        <f t="shared" si="7"/>
        <v>23808.094399999998</v>
      </c>
      <c r="L35" s="26">
        <f t="shared" si="7"/>
        <v>31383.633600000001</v>
      </c>
      <c r="M35" s="26">
        <f t="shared" si="7"/>
        <v>40000</v>
      </c>
    </row>
    <row r="36" spans="1:13" x14ac:dyDescent="0.35">
      <c r="A36" s="1"/>
      <c r="B36" s="65" t="s">
        <v>307</v>
      </c>
      <c r="C36" s="1"/>
      <c r="D36" s="26">
        <f t="shared" ref="D36:M36" si="8">(D33-C33)/IF(D$5&lt;=5,$G$12,$H$12)</f>
        <v>6883.7777777777783</v>
      </c>
      <c r="E36" s="26">
        <f t="shared" si="8"/>
        <v>8260.5333333333328</v>
      </c>
      <c r="F36" s="26">
        <f t="shared" si="8"/>
        <v>7709.8311111111107</v>
      </c>
      <c r="G36" s="26">
        <f t="shared" si="8"/>
        <v>5782.3733333333321</v>
      </c>
      <c r="H36" s="26">
        <f t="shared" si="8"/>
        <v>5782.3733333333366</v>
      </c>
      <c r="I36" s="26">
        <f t="shared" si="8"/>
        <v>8260.5333333333347</v>
      </c>
      <c r="J36" s="26">
        <f t="shared" si="8"/>
        <v>9912.6399999999958</v>
      </c>
      <c r="K36" s="26">
        <f t="shared" si="8"/>
        <v>9251.7973333333321</v>
      </c>
      <c r="L36" s="26">
        <f t="shared" si="8"/>
        <v>6938.8480000000036</v>
      </c>
      <c r="M36" s="26">
        <f t="shared" si="8"/>
        <v>6938.8479999999981</v>
      </c>
    </row>
    <row r="37" spans="1:13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1"/>
      <c r="B38" s="19" t="str">
        <f>B13</f>
        <v>Other (expansion options)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5">
      <c r="A39" s="1"/>
      <c r="B39" s="65" t="s">
        <v>261</v>
      </c>
      <c r="C39" s="26">
        <f>IF($I$13=1,0,$C$13)</f>
        <v>0</v>
      </c>
      <c r="D39" s="26">
        <f>IF($I$13=1,IF(D$5&gt;5,(D$5-5)*$D$13/5,0),C39+($H39-C39)*D$6)</f>
        <v>0</v>
      </c>
      <c r="E39" s="26">
        <f>IF($I$13=1,IF(E$5&gt;5,(E$5-5)*$D$13/5,0),D39+($H39-D39)*E$6)</f>
        <v>0</v>
      </c>
      <c r="F39" s="26">
        <f>IF($I$13=1,IF(F$5&gt;5,(F$5-5)*$D$13/5,0),E39+($H39-E39)*F$6)</f>
        <v>0</v>
      </c>
      <c r="G39" s="26">
        <f>IF($I$13=1,IF(G$5&gt;5,(G$5-5)*$D$13/5,0),F39+($H39-F39)*G$6)</f>
        <v>0</v>
      </c>
      <c r="H39" s="26">
        <f>IF($I$13=1,IF(H$5&gt;5,(H$5-5)*$D$13/5,0),$C39+($D$13-$C39)/3)</f>
        <v>0</v>
      </c>
      <c r="I39" s="26">
        <f>IF($I$13=1,IF(I$5&gt;5,(I$5-5)*$D$13/5,0),H39+($D$13-H39)*I$6)</f>
        <v>20000</v>
      </c>
      <c r="J39" s="26">
        <f>IF($I$13=1,IF(J$5&gt;5,(J$5-5)*$D$13/5,0),I39+($D$13-I39)*J$6)</f>
        <v>40000</v>
      </c>
      <c r="K39" s="26">
        <f>IF($I$13=1,IF(K$5&gt;5,(K$5-5)*$D$13/5,0),J39+($D$13-J39)*K$6)</f>
        <v>60000</v>
      </c>
      <c r="L39" s="26">
        <f>IF($I$13=1,IF(L$5&gt;5,(L$5-5)*$D$13/5,0),K39+($D$13-K39)*L$6)</f>
        <v>80000</v>
      </c>
      <c r="M39" s="26">
        <f>IF($I$13=1,IF(M$5&gt;5,(M$5-5)*$D$13/5,0),$D$13)</f>
        <v>100000</v>
      </c>
    </row>
    <row r="40" spans="1:13" x14ac:dyDescent="0.35">
      <c r="A40" s="1"/>
      <c r="B40" s="65" t="s">
        <v>305</v>
      </c>
      <c r="C40" s="25">
        <f>$E$13</f>
        <v>0</v>
      </c>
      <c r="D40" s="25">
        <f t="shared" ref="D40:M40" si="9">IF(D$5&gt;$C$17,$F$13,$F$13-($F$13-$E$13)/$C$17*($C$17-D$5))</f>
        <v>2.9999999999999971E-2</v>
      </c>
      <c r="E40" s="25">
        <f t="shared" si="9"/>
        <v>0.06</v>
      </c>
      <c r="F40" s="25">
        <f t="shared" si="9"/>
        <v>0.09</v>
      </c>
      <c r="G40" s="25">
        <f t="shared" si="9"/>
        <v>0.12</v>
      </c>
      <c r="H40" s="25">
        <f t="shared" si="9"/>
        <v>0.15</v>
      </c>
      <c r="I40" s="25">
        <f t="shared" si="9"/>
        <v>0.18</v>
      </c>
      <c r="J40" s="25">
        <f t="shared" si="9"/>
        <v>0.21</v>
      </c>
      <c r="K40" s="25">
        <f t="shared" si="9"/>
        <v>0.24</v>
      </c>
      <c r="L40" s="25">
        <f t="shared" si="9"/>
        <v>0.27</v>
      </c>
      <c r="M40" s="25">
        <f t="shared" si="9"/>
        <v>0.3</v>
      </c>
    </row>
    <row r="41" spans="1:13" x14ac:dyDescent="0.35">
      <c r="A41" s="1"/>
      <c r="B41" s="65" t="s">
        <v>306</v>
      </c>
      <c r="C41" s="1"/>
      <c r="D41" s="26">
        <f t="shared" ref="D41:M41" si="10">D39*D40</f>
        <v>0</v>
      </c>
      <c r="E41" s="26">
        <f t="shared" si="10"/>
        <v>0</v>
      </c>
      <c r="F41" s="26">
        <f t="shared" si="10"/>
        <v>0</v>
      </c>
      <c r="G41" s="26">
        <f t="shared" si="10"/>
        <v>0</v>
      </c>
      <c r="H41" s="26">
        <f t="shared" si="10"/>
        <v>0</v>
      </c>
      <c r="I41" s="26">
        <f t="shared" si="10"/>
        <v>3600</v>
      </c>
      <c r="J41" s="26">
        <f t="shared" si="10"/>
        <v>8400</v>
      </c>
      <c r="K41" s="26">
        <f t="shared" si="10"/>
        <v>14400</v>
      </c>
      <c r="L41" s="26">
        <f t="shared" si="10"/>
        <v>21600</v>
      </c>
      <c r="M41" s="26">
        <f t="shared" si="10"/>
        <v>30000</v>
      </c>
    </row>
    <row r="42" spans="1:13" x14ac:dyDescent="0.35">
      <c r="A42" s="1"/>
      <c r="B42" s="65" t="s">
        <v>307</v>
      </c>
      <c r="C42" s="1"/>
      <c r="D42" s="26">
        <f t="shared" ref="D42:M42" si="11">(D39-C39)/IF(D$5&lt;=5,$G$13,$H$13)</f>
        <v>0</v>
      </c>
      <c r="E42" s="26">
        <f t="shared" si="11"/>
        <v>0</v>
      </c>
      <c r="F42" s="26">
        <f t="shared" si="11"/>
        <v>0</v>
      </c>
      <c r="G42" s="26">
        <f t="shared" si="11"/>
        <v>0</v>
      </c>
      <c r="H42" s="26">
        <f t="shared" si="11"/>
        <v>0</v>
      </c>
      <c r="I42" s="26">
        <f t="shared" si="11"/>
        <v>4000</v>
      </c>
      <c r="J42" s="26">
        <f t="shared" si="11"/>
        <v>4000</v>
      </c>
      <c r="K42" s="26">
        <f t="shared" si="11"/>
        <v>4000</v>
      </c>
      <c r="L42" s="26">
        <f t="shared" si="11"/>
        <v>4000</v>
      </c>
      <c r="M42" s="26">
        <f t="shared" si="11"/>
        <v>4000</v>
      </c>
    </row>
    <row r="43" spans="1:13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5">
      <c r="A44" s="1"/>
      <c r="B44" s="19" t="s">
        <v>308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5">
      <c r="A45" s="1"/>
      <c r="B45" s="6" t="s">
        <v>309</v>
      </c>
      <c r="C45" s="57">
        <f t="shared" ref="C45:M45" si="12">C21+C27+C33+C39</f>
        <v>23044</v>
      </c>
      <c r="D45" s="57">
        <f t="shared" si="12"/>
        <v>42841.066666666666</v>
      </c>
      <c r="E45" s="57">
        <f t="shared" si="12"/>
        <v>66597.546666666662</v>
      </c>
      <c r="F45" s="57">
        <f t="shared" si="12"/>
        <v>88770.261333333328</v>
      </c>
      <c r="G45" s="57">
        <f t="shared" si="12"/>
        <v>105399.79733333332</v>
      </c>
      <c r="H45" s="57">
        <f t="shared" si="12"/>
        <v>122029.33333333334</v>
      </c>
      <c r="I45" s="57">
        <f t="shared" si="12"/>
        <v>181623.46666666667</v>
      </c>
      <c r="J45" s="57">
        <f t="shared" si="12"/>
        <v>249136.42666666667</v>
      </c>
      <c r="K45" s="57">
        <f t="shared" si="12"/>
        <v>313481.85599999997</v>
      </c>
      <c r="L45" s="57">
        <f t="shared" si="12"/>
        <v>366740.92800000001</v>
      </c>
      <c r="M45" s="57">
        <f t="shared" si="12"/>
        <v>420000</v>
      </c>
    </row>
    <row r="46" spans="1:13" x14ac:dyDescent="0.35">
      <c r="A46" s="1"/>
      <c r="B46" s="6" t="s">
        <v>310</v>
      </c>
      <c r="C46" s="1"/>
      <c r="D46" s="66">
        <f t="shared" ref="D46:M46" si="13">D23+D29+D35+D41</f>
        <v>3588.3218666666658</v>
      </c>
      <c r="E46" s="66">
        <f t="shared" si="13"/>
        <v>7602.4524799999999</v>
      </c>
      <c r="F46" s="66">
        <f t="shared" si="13"/>
        <v>13210.675818666665</v>
      </c>
      <c r="G46" s="66">
        <f t="shared" si="13"/>
        <v>19554.129541333332</v>
      </c>
      <c r="H46" s="66">
        <f t="shared" si="13"/>
        <v>27161.260000000002</v>
      </c>
      <c r="I46" s="66">
        <f t="shared" si="13"/>
        <v>45311.49973333333</v>
      </c>
      <c r="J46" s="66">
        <f t="shared" si="13"/>
        <v>69929.79402666667</v>
      </c>
      <c r="K46" s="66">
        <f t="shared" si="13"/>
        <v>98334.522943999997</v>
      </c>
      <c r="L46" s="66">
        <f t="shared" si="13"/>
        <v>127303.58473599999</v>
      </c>
      <c r="M46" s="66">
        <f t="shared" si="13"/>
        <v>160000</v>
      </c>
    </row>
    <row r="47" spans="1:13" x14ac:dyDescent="0.35">
      <c r="A47" s="1"/>
      <c r="B47" s="7" t="s">
        <v>305</v>
      </c>
      <c r="C47" s="1"/>
      <c r="D47" s="25">
        <f t="shared" ref="D47:M47" si="14">D46/D45</f>
        <v>8.3758929127192586E-2</v>
      </c>
      <c r="E47" s="25">
        <f t="shared" si="14"/>
        <v>0.11415514325252422</v>
      </c>
      <c r="F47" s="25">
        <f t="shared" si="14"/>
        <v>0.14881871045822911</v>
      </c>
      <c r="G47" s="25">
        <f t="shared" si="14"/>
        <v>0.18552340740743739</v>
      </c>
      <c r="H47" s="25">
        <f t="shared" si="14"/>
        <v>0.22257976224295797</v>
      </c>
      <c r="I47" s="25">
        <f t="shared" si="14"/>
        <v>0.24948042543694793</v>
      </c>
      <c r="J47" s="25">
        <f t="shared" si="14"/>
        <v>0.28068875741013011</v>
      </c>
      <c r="K47" s="25">
        <f t="shared" si="14"/>
        <v>0.31368489455415244</v>
      </c>
      <c r="L47" s="25">
        <f t="shared" si="14"/>
        <v>0.34712129194372326</v>
      </c>
      <c r="M47" s="25">
        <f t="shared" si="14"/>
        <v>0.38095238095238093</v>
      </c>
    </row>
    <row r="48" spans="1:13" x14ac:dyDescent="0.35">
      <c r="A48" s="1"/>
      <c r="B48" s="6" t="s">
        <v>311</v>
      </c>
      <c r="C48" s="1"/>
      <c r="D48" s="66">
        <f t="shared" ref="D48:M48" si="15">D24+D30+D36+D42</f>
        <v>10040.911111111111</v>
      </c>
      <c r="E48" s="66">
        <f t="shared" si="15"/>
        <v>12049.093333333332</v>
      </c>
      <c r="F48" s="66">
        <f t="shared" si="15"/>
        <v>11245.820444444444</v>
      </c>
      <c r="G48" s="66">
        <f t="shared" si="15"/>
        <v>8434.3653333333332</v>
      </c>
      <c r="H48" s="66">
        <f t="shared" si="15"/>
        <v>8434.3653333333368</v>
      </c>
      <c r="I48" s="66">
        <f t="shared" si="15"/>
        <v>16288.720000000003</v>
      </c>
      <c r="J48" s="66">
        <f t="shared" si="15"/>
        <v>18746.463999999993</v>
      </c>
      <c r="K48" s="66">
        <f t="shared" si="15"/>
        <v>17763.366399999999</v>
      </c>
      <c r="L48" s="66">
        <f t="shared" si="15"/>
        <v>14322.524800000003</v>
      </c>
      <c r="M48" s="66">
        <f t="shared" si="15"/>
        <v>14322.524799999999</v>
      </c>
    </row>
  </sheetData>
  <printOptions horizontalCentered="1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5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4" customWidth="1"/>
    <col min="3" max="14" width="12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x14ac:dyDescent="0.4">
      <c r="A2" s="1"/>
      <c r="B2" s="17" t="s">
        <v>312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8" t="s">
        <v>313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22" t="s">
        <v>286</v>
      </c>
      <c r="D4" s="22" t="s">
        <v>287</v>
      </c>
      <c r="E4" s="22" t="s">
        <v>288</v>
      </c>
      <c r="F4" s="22" t="s">
        <v>289</v>
      </c>
      <c r="G4" s="22" t="s">
        <v>290</v>
      </c>
      <c r="H4" s="22" t="s">
        <v>291</v>
      </c>
      <c r="I4" s="22" t="s">
        <v>292</v>
      </c>
      <c r="J4" s="22" t="s">
        <v>293</v>
      </c>
      <c r="K4" s="22" t="s">
        <v>294</v>
      </c>
      <c r="L4" s="22" t="s">
        <v>295</v>
      </c>
      <c r="M4" s="22" t="s">
        <v>296</v>
      </c>
      <c r="N4" s="22" t="s">
        <v>314</v>
      </c>
    </row>
    <row r="5" spans="1:14" x14ac:dyDescent="0.35">
      <c r="A5" s="1"/>
      <c r="B5" s="7" t="s">
        <v>297</v>
      </c>
      <c r="C5" s="63">
        <v>0</v>
      </c>
      <c r="D5" s="63">
        <v>1</v>
      </c>
      <c r="E5" s="63">
        <v>2</v>
      </c>
      <c r="F5" s="63">
        <v>3</v>
      </c>
      <c r="G5" s="63">
        <v>4</v>
      </c>
      <c r="H5" s="63">
        <v>5</v>
      </c>
      <c r="I5" s="63">
        <v>6</v>
      </c>
      <c r="J5" s="63">
        <v>7</v>
      </c>
      <c r="K5" s="63">
        <v>8</v>
      </c>
      <c r="L5" s="63">
        <v>9</v>
      </c>
      <c r="M5" s="63">
        <v>10</v>
      </c>
      <c r="N5" s="1"/>
    </row>
    <row r="6" spans="1:1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/>
      <c r="B7" s="6" t="s">
        <v>261</v>
      </c>
      <c r="C7" s="21">
        <f>Segments!C45</f>
        <v>23044</v>
      </c>
      <c r="D7" s="67">
        <f>Segments!D45</f>
        <v>42841.066666666666</v>
      </c>
      <c r="E7" s="67">
        <f>Segments!E45</f>
        <v>66597.546666666662</v>
      </c>
      <c r="F7" s="67">
        <f>Segments!F45</f>
        <v>88770.261333333328</v>
      </c>
      <c r="G7" s="67">
        <f>Segments!G45</f>
        <v>105399.79733333332</v>
      </c>
      <c r="H7" s="67">
        <f>Segments!H45</f>
        <v>122029.33333333334</v>
      </c>
      <c r="I7" s="67">
        <f>Segments!I45</f>
        <v>181623.46666666667</v>
      </c>
      <c r="J7" s="67">
        <f>Segments!J45</f>
        <v>249136.42666666667</v>
      </c>
      <c r="K7" s="67">
        <f>Segments!K45</f>
        <v>313481.85599999997</v>
      </c>
      <c r="L7" s="67">
        <f>Segments!L45</f>
        <v>366740.92800000001</v>
      </c>
      <c r="M7" s="67">
        <f>Segments!M45</f>
        <v>420000</v>
      </c>
      <c r="N7" s="66">
        <f>M7*(1+$C$31)</f>
        <v>441714.00000000006</v>
      </c>
    </row>
    <row r="8" spans="1:14" x14ac:dyDescent="0.35">
      <c r="A8" s="1"/>
      <c r="B8" s="7" t="s">
        <v>315</v>
      </c>
      <c r="C8" s="1"/>
      <c r="D8" s="25">
        <f t="shared" ref="D8:N8" si="0">D7/C7-1</f>
        <v>0.85909853613377307</v>
      </c>
      <c r="E8" s="25">
        <f t="shared" si="0"/>
        <v>0.55452587548395926</v>
      </c>
      <c r="F8" s="25">
        <f t="shared" si="0"/>
        <v>0.3329359079493619</v>
      </c>
      <c r="G8" s="25">
        <f t="shared" si="0"/>
        <v>0.18733228617583886</v>
      </c>
      <c r="H8" s="25">
        <f t="shared" si="0"/>
        <v>0.15777578724756069</v>
      </c>
      <c r="I8" s="25">
        <f t="shared" si="0"/>
        <v>0.48835908306199594</v>
      </c>
      <c r="J8" s="25">
        <f t="shared" si="0"/>
        <v>0.37171936666040217</v>
      </c>
      <c r="K8" s="25">
        <f t="shared" si="0"/>
        <v>0.25827387104425559</v>
      </c>
      <c r="L8" s="25">
        <f t="shared" si="0"/>
        <v>0.16989522991723027</v>
      </c>
      <c r="M8" s="25">
        <f t="shared" si="0"/>
        <v>0.14522260247975383</v>
      </c>
      <c r="N8" s="25">
        <f t="shared" si="0"/>
        <v>5.1700000000000079E-2</v>
      </c>
    </row>
    <row r="9" spans="1:14" x14ac:dyDescent="0.35">
      <c r="A9" s="1"/>
      <c r="B9" s="7" t="s">
        <v>305</v>
      </c>
      <c r="C9" s="25">
        <f t="shared" ref="C9:M9" si="1">C10/C7</f>
        <v>0.27877972574205873</v>
      </c>
      <c r="D9" s="25">
        <f t="shared" si="1"/>
        <v>8.3758929127192586E-2</v>
      </c>
      <c r="E9" s="25">
        <f t="shared" si="1"/>
        <v>0.11415514325252422</v>
      </c>
      <c r="F9" s="25">
        <f t="shared" si="1"/>
        <v>0.14881871045822911</v>
      </c>
      <c r="G9" s="25">
        <f t="shared" si="1"/>
        <v>0.18552340740743739</v>
      </c>
      <c r="H9" s="25">
        <f t="shared" si="1"/>
        <v>0.22257976224295797</v>
      </c>
      <c r="I9" s="25">
        <f t="shared" si="1"/>
        <v>0.24948042543694793</v>
      </c>
      <c r="J9" s="25">
        <f t="shared" si="1"/>
        <v>0.28068875741013011</v>
      </c>
      <c r="K9" s="25">
        <f t="shared" si="1"/>
        <v>0.31368489455415244</v>
      </c>
      <c r="L9" s="25">
        <f t="shared" si="1"/>
        <v>0.34712129194372326</v>
      </c>
      <c r="M9" s="25">
        <f t="shared" si="1"/>
        <v>0.38095238095238093</v>
      </c>
      <c r="N9" s="25">
        <f>M9</f>
        <v>0.38095238095238093</v>
      </c>
    </row>
    <row r="10" spans="1:14" x14ac:dyDescent="0.35">
      <c r="A10" s="1"/>
      <c r="B10" s="7" t="s">
        <v>306</v>
      </c>
      <c r="C10" s="26">
        <f>Inputs!$C$21+C57</f>
        <v>6424.2000000000007</v>
      </c>
      <c r="D10" s="21">
        <f>Segments!D46</f>
        <v>3588.3218666666658</v>
      </c>
      <c r="E10" s="21">
        <f>Segments!E46</f>
        <v>7602.4524799999999</v>
      </c>
      <c r="F10" s="21">
        <f>Segments!F46</f>
        <v>13210.675818666665</v>
      </c>
      <c r="G10" s="21">
        <f>Segments!G46</f>
        <v>19554.129541333332</v>
      </c>
      <c r="H10" s="21">
        <f>Segments!H46</f>
        <v>27161.260000000002</v>
      </c>
      <c r="I10" s="21">
        <f>Segments!I46</f>
        <v>45311.49973333333</v>
      </c>
      <c r="J10" s="21">
        <f>Segments!J46</f>
        <v>69929.79402666667</v>
      </c>
      <c r="K10" s="21">
        <f>Segments!K46</f>
        <v>98334.522943999997</v>
      </c>
      <c r="L10" s="21">
        <f>Segments!L46</f>
        <v>127303.58473599999</v>
      </c>
      <c r="M10" s="21">
        <f>Segments!M46</f>
        <v>160000</v>
      </c>
      <c r="N10" s="26">
        <f>N9*N7</f>
        <v>168272</v>
      </c>
    </row>
    <row r="11" spans="1:14" x14ac:dyDescent="0.35">
      <c r="A11" s="1"/>
      <c r="B11" s="7" t="s">
        <v>316</v>
      </c>
      <c r="C11" s="33">
        <f>Inputs!$C$37</f>
        <v>0.1</v>
      </c>
      <c r="D11" s="25">
        <f>C11</f>
        <v>0.1</v>
      </c>
      <c r="E11" s="25">
        <f>D11</f>
        <v>0.1</v>
      </c>
      <c r="F11" s="25">
        <f>E11</f>
        <v>0.1</v>
      </c>
      <c r="G11" s="25">
        <f>F11</f>
        <v>0.1</v>
      </c>
      <c r="H11" s="25">
        <f>G11</f>
        <v>0.1</v>
      </c>
      <c r="I11" s="25">
        <f>H11+(Inputs!$C$38-Inputs!$C$37)/5</f>
        <v>0.13</v>
      </c>
      <c r="J11" s="25">
        <f>I11+(Inputs!$C$38-Inputs!$C$37)/5</f>
        <v>0.16</v>
      </c>
      <c r="K11" s="25">
        <f>J11+(Inputs!$C$38-Inputs!$C$37)/5</f>
        <v>0.19</v>
      </c>
      <c r="L11" s="25">
        <f>K11+(Inputs!$C$38-Inputs!$C$37)/5</f>
        <v>0.22</v>
      </c>
      <c r="M11" s="25">
        <f>L11+(Inputs!$C$38-Inputs!$C$37)/5</f>
        <v>0.25</v>
      </c>
      <c r="N11" s="33">
        <f>Inputs!$C$38</f>
        <v>0.25</v>
      </c>
    </row>
    <row r="12" spans="1:14" x14ac:dyDescent="0.35">
      <c r="A12" s="1"/>
      <c r="B12" s="7" t="s">
        <v>317</v>
      </c>
      <c r="C12" s="21">
        <f>Inputs!$C$24</f>
        <v>0</v>
      </c>
      <c r="D12" s="26">
        <f t="shared" ref="D12:M12" si="2">IF(D10&lt;0,C12-D10,IF(C12&gt;D10,C12-D10,0))</f>
        <v>0</v>
      </c>
      <c r="E12" s="26">
        <f t="shared" si="2"/>
        <v>0</v>
      </c>
      <c r="F12" s="26">
        <f t="shared" si="2"/>
        <v>0</v>
      </c>
      <c r="G12" s="26">
        <f t="shared" si="2"/>
        <v>0</v>
      </c>
      <c r="H12" s="26">
        <f t="shared" si="2"/>
        <v>0</v>
      </c>
      <c r="I12" s="26">
        <f t="shared" si="2"/>
        <v>0</v>
      </c>
      <c r="J12" s="26">
        <f t="shared" si="2"/>
        <v>0</v>
      </c>
      <c r="K12" s="26">
        <f t="shared" si="2"/>
        <v>0</v>
      </c>
      <c r="L12" s="26">
        <f t="shared" si="2"/>
        <v>0</v>
      </c>
      <c r="M12" s="26">
        <f t="shared" si="2"/>
        <v>0</v>
      </c>
      <c r="N12" s="1"/>
    </row>
    <row r="13" spans="1:14" x14ac:dyDescent="0.35">
      <c r="A13" s="1"/>
      <c r="B13" s="7" t="s">
        <v>318</v>
      </c>
      <c r="C13" s="26">
        <f>IF(C10&gt;0,C10*(1-C11),C10)</f>
        <v>5781.7800000000007</v>
      </c>
      <c r="D13" s="26">
        <f t="shared" ref="D13:M13" si="3">IF(D10&gt;0,IF(D10&lt;C12,D10,D10-(D10-C12)*D11),D10)</f>
        <v>3229.4896799999992</v>
      </c>
      <c r="E13" s="26">
        <f t="shared" si="3"/>
        <v>6842.2072319999997</v>
      </c>
      <c r="F13" s="26">
        <f t="shared" si="3"/>
        <v>11889.608236799999</v>
      </c>
      <c r="G13" s="26">
        <f t="shared" si="3"/>
        <v>17598.716587199997</v>
      </c>
      <c r="H13" s="26">
        <f t="shared" si="3"/>
        <v>24445.134000000002</v>
      </c>
      <c r="I13" s="26">
        <f t="shared" si="3"/>
        <v>39421.004767999999</v>
      </c>
      <c r="J13" s="26">
        <f t="shared" si="3"/>
        <v>58741.026982399999</v>
      </c>
      <c r="K13" s="26">
        <f t="shared" si="3"/>
        <v>79650.963584640005</v>
      </c>
      <c r="L13" s="26">
        <f t="shared" si="3"/>
        <v>99296.796094079997</v>
      </c>
      <c r="M13" s="26">
        <f t="shared" si="3"/>
        <v>120000</v>
      </c>
      <c r="N13" s="26">
        <f>N10*(1-N11)</f>
        <v>126204</v>
      </c>
    </row>
    <row r="14" spans="1:14" x14ac:dyDescent="0.35">
      <c r="A14" s="1"/>
      <c r="B14" s="7" t="s">
        <v>319</v>
      </c>
      <c r="C14" s="1"/>
      <c r="D14" s="21">
        <f>Segments!D48</f>
        <v>10040.911111111111</v>
      </c>
      <c r="E14" s="21">
        <f>Segments!E48</f>
        <v>12049.093333333332</v>
      </c>
      <c r="F14" s="21">
        <f>Segments!F48</f>
        <v>11245.820444444444</v>
      </c>
      <c r="G14" s="21">
        <f>Segments!G48</f>
        <v>8434.3653333333332</v>
      </c>
      <c r="H14" s="21">
        <f>Segments!H48</f>
        <v>8434.3653333333368</v>
      </c>
      <c r="I14" s="21">
        <f>Segments!I48</f>
        <v>16288.720000000003</v>
      </c>
      <c r="J14" s="21">
        <f>Segments!J48</f>
        <v>18746.463999999993</v>
      </c>
      <c r="K14" s="21">
        <f>Segments!K48</f>
        <v>17763.366399999999</v>
      </c>
      <c r="L14" s="21">
        <f>Segments!L48</f>
        <v>14322.524800000003</v>
      </c>
      <c r="M14" s="21">
        <f>Segments!M48</f>
        <v>14322.524799999999</v>
      </c>
      <c r="N14" s="26">
        <f>IF($C$31&gt;0,$C$31/$C$32*N13,0)</f>
        <v>43498.311999999998</v>
      </c>
    </row>
    <row r="15" spans="1:14" x14ac:dyDescent="0.35">
      <c r="A15" s="1"/>
      <c r="B15" s="6" t="s">
        <v>320</v>
      </c>
      <c r="C15" s="1"/>
      <c r="D15" s="57">
        <f t="shared" ref="D15:N15" si="4">D13-D14</f>
        <v>-6811.4214311111118</v>
      </c>
      <c r="E15" s="57">
        <f t="shared" si="4"/>
        <v>-5206.8861013333326</v>
      </c>
      <c r="F15" s="57">
        <f t="shared" si="4"/>
        <v>643.78779235555521</v>
      </c>
      <c r="G15" s="57">
        <f t="shared" si="4"/>
        <v>9164.3512538666637</v>
      </c>
      <c r="H15" s="57">
        <f t="shared" si="4"/>
        <v>16010.768666666665</v>
      </c>
      <c r="I15" s="57">
        <f t="shared" si="4"/>
        <v>23132.284767999998</v>
      </c>
      <c r="J15" s="57">
        <f t="shared" si="4"/>
        <v>39994.562982400006</v>
      </c>
      <c r="K15" s="57">
        <f t="shared" si="4"/>
        <v>61887.597184640006</v>
      </c>
      <c r="L15" s="57">
        <f t="shared" si="4"/>
        <v>84974.271294079997</v>
      </c>
      <c r="M15" s="57">
        <f t="shared" si="4"/>
        <v>105677.4752</v>
      </c>
      <c r="N15" s="57">
        <f t="shared" si="4"/>
        <v>82705.687999999995</v>
      </c>
    </row>
    <row r="16" spans="1:1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/>
      <c r="B17" s="7" t="s">
        <v>208</v>
      </c>
      <c r="C17" s="1"/>
      <c r="D17" s="29">
        <f>$C$27</f>
        <v>0.10416279004284928</v>
      </c>
      <c r="E17" s="29">
        <f>$C$27</f>
        <v>0.10416279004284928</v>
      </c>
      <c r="F17" s="29">
        <f>$C$27</f>
        <v>0.10416279004284928</v>
      </c>
      <c r="G17" s="29">
        <f>$C$27</f>
        <v>0.10416279004284928</v>
      </c>
      <c r="H17" s="29">
        <f>$C$27</f>
        <v>0.10416279004284928</v>
      </c>
      <c r="I17" s="29">
        <f>H17-($H$17-$N$17)/5</f>
        <v>0.10105023203427943</v>
      </c>
      <c r="J17" s="29">
        <f>I17-($H$17-$N$17)/5</f>
        <v>9.7937674025709576E-2</v>
      </c>
      <c r="K17" s="29">
        <f>J17-($H$17-$N$17)/5</f>
        <v>9.4825116017139721E-2</v>
      </c>
      <c r="L17" s="29">
        <f>K17-($H$17-$N$17)/5</f>
        <v>9.1712558008569867E-2</v>
      </c>
      <c r="M17" s="29">
        <f>L17-($H$17-$N$17)/5</f>
        <v>8.8600000000000012E-2</v>
      </c>
      <c r="N17" s="29">
        <f>$C$28</f>
        <v>8.8599999999999998E-2</v>
      </c>
    </row>
    <row r="18" spans="1:14" x14ac:dyDescent="0.35">
      <c r="A18" s="1"/>
      <c r="B18" s="7" t="s">
        <v>321</v>
      </c>
      <c r="C18" s="1"/>
      <c r="D18" s="56">
        <f>1/(1+D17)</f>
        <v>0.90566355705682944</v>
      </c>
      <c r="E18" s="56">
        <f t="shared" ref="E18:M18" si="5">D18/(1+E17)</f>
        <v>0.82022647858082898</v>
      </c>
      <c r="F18" s="56">
        <f t="shared" si="5"/>
        <v>0.74284923018371096</v>
      </c>
      <c r="G18" s="56">
        <f t="shared" si="5"/>
        <v>0.67277147616510713</v>
      </c>
      <c r="H18" s="56">
        <f t="shared" si="5"/>
        <v>0.60930460819006493</v>
      </c>
      <c r="I18" s="56">
        <f t="shared" si="5"/>
        <v>0.55338493236982056</v>
      </c>
      <c r="J18" s="56">
        <f t="shared" si="5"/>
        <v>0.50402217308089414</v>
      </c>
      <c r="K18" s="56">
        <f t="shared" si="5"/>
        <v>0.46036774796916846</v>
      </c>
      <c r="L18" s="56">
        <f t="shared" si="5"/>
        <v>0.42169318708666409</v>
      </c>
      <c r="M18" s="56">
        <f t="shared" si="5"/>
        <v>0.38737202561699807</v>
      </c>
      <c r="N18" s="1"/>
    </row>
    <row r="19" spans="1:14" x14ac:dyDescent="0.35">
      <c r="A19" s="1"/>
      <c r="B19" s="7" t="s">
        <v>322</v>
      </c>
      <c r="C19" s="1"/>
      <c r="D19" s="26">
        <f t="shared" ref="D19:M19" si="6">D15*D18</f>
        <v>-6168.8561619132097</v>
      </c>
      <c r="E19" s="26">
        <f t="shared" si="6"/>
        <v>-4270.8258512681005</v>
      </c>
      <c r="F19" s="26">
        <f t="shared" si="6"/>
        <v>478.23726595299496</v>
      </c>
      <c r="G19" s="26">
        <f t="shared" si="6"/>
        <v>6165.5141211594255</v>
      </c>
      <c r="H19" s="26">
        <f t="shared" si="6"/>
        <v>9755.4351292651008</v>
      </c>
      <c r="I19" s="26">
        <f t="shared" si="6"/>
        <v>12801.057841899108</v>
      </c>
      <c r="J19" s="26">
        <f t="shared" si="6"/>
        <v>20158.146545809937</v>
      </c>
      <c r="K19" s="26">
        <f t="shared" si="6"/>
        <v>28491.053743115772</v>
      </c>
      <c r="L19" s="26">
        <f t="shared" si="6"/>
        <v>35833.071282367426</v>
      </c>
      <c r="M19" s="26">
        <f t="shared" si="6"/>
        <v>40936.497630314079</v>
      </c>
      <c r="N19" s="1"/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1"/>
      <c r="B21" s="7" t="s">
        <v>323</v>
      </c>
      <c r="C21" s="26">
        <f>Inputs!$C$17+Inputs!$C$16-Inputs!$C$15+C55</f>
        <v>83843.199999999997</v>
      </c>
      <c r="D21" s="26">
        <f t="shared" ref="D21:M21" si="7">C21+D14</f>
        <v>93884.111111111109</v>
      </c>
      <c r="E21" s="26">
        <f t="shared" si="7"/>
        <v>105933.20444444445</v>
      </c>
      <c r="F21" s="26">
        <f t="shared" si="7"/>
        <v>117179.02488888889</v>
      </c>
      <c r="G21" s="26">
        <f t="shared" si="7"/>
        <v>125613.39022222222</v>
      </c>
      <c r="H21" s="26">
        <f t="shared" si="7"/>
        <v>134047.75555555557</v>
      </c>
      <c r="I21" s="26">
        <f t="shared" si="7"/>
        <v>150336.47555555557</v>
      </c>
      <c r="J21" s="26">
        <f t="shared" si="7"/>
        <v>169082.93955555558</v>
      </c>
      <c r="K21" s="26">
        <f t="shared" si="7"/>
        <v>186846.30595555558</v>
      </c>
      <c r="L21" s="26">
        <f t="shared" si="7"/>
        <v>201168.83075555559</v>
      </c>
      <c r="M21" s="26">
        <f t="shared" si="7"/>
        <v>215491.35555555561</v>
      </c>
      <c r="N21" s="1"/>
    </row>
    <row r="22" spans="1:14" x14ac:dyDescent="0.35">
      <c r="A22" s="1"/>
      <c r="B22" s="7" t="s">
        <v>324</v>
      </c>
      <c r="C22" s="25">
        <f>C13/C21</f>
        <v>6.8959438571046916E-2</v>
      </c>
      <c r="D22" s="25">
        <f t="shared" ref="D22:M22" si="8">D13/C21</f>
        <v>3.8518206366169219E-2</v>
      </c>
      <c r="E22" s="25">
        <f t="shared" si="8"/>
        <v>7.2879288635989761E-2</v>
      </c>
      <c r="F22" s="25">
        <f t="shared" si="8"/>
        <v>0.11223684112223169</v>
      </c>
      <c r="G22" s="25">
        <f t="shared" si="8"/>
        <v>0.15018657651305253</v>
      </c>
      <c r="H22" s="25">
        <f t="shared" si="8"/>
        <v>0.19460611608964776</v>
      </c>
      <c r="I22" s="25">
        <f t="shared" si="8"/>
        <v>0.29408179648082294</v>
      </c>
      <c r="J22" s="25">
        <f t="shared" si="8"/>
        <v>0.39073037175660508</v>
      </c>
      <c r="K22" s="25">
        <f t="shared" si="8"/>
        <v>0.4710762883233946</v>
      </c>
      <c r="L22" s="25">
        <f t="shared" si="8"/>
        <v>0.53143569302193938</v>
      </c>
      <c r="M22" s="25">
        <f t="shared" si="8"/>
        <v>0.59651388114799198</v>
      </c>
      <c r="N22" s="25">
        <f>$C$32</f>
        <v>0.15</v>
      </c>
    </row>
    <row r="23" spans="1:1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9" t="s">
        <v>325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1"/>
      <c r="B26" s="7" t="s">
        <v>326</v>
      </c>
      <c r="C26" s="45">
        <f>WACC_Initial</f>
        <v>0.10416279004284928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7" t="s">
        <v>327</v>
      </c>
      <c r="C27" s="29">
        <f>C26+Sensitivity!$C$5</f>
        <v>0.10416279004284928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7" t="s">
        <v>328</v>
      </c>
      <c r="C28" s="29">
        <f>Scenarios!$E$22+Sensitivity!$C$6+Sensitivity!$C$9</f>
        <v>8.8599999999999998E-2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7" t="s">
        <v>266</v>
      </c>
      <c r="C29" s="45">
        <f>WACC!C20</f>
        <v>5.1700000000000003E-2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7" t="s">
        <v>329</v>
      </c>
      <c r="C30" s="7" t="str">
        <f>"Terminal growth = riskfree rate (Ginzu default)"</f>
        <v>Terminal growth = riskfree rate (Ginzu default)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7" t="s">
        <v>330</v>
      </c>
      <c r="C31" s="29">
        <f>C29</f>
        <v>5.1700000000000003E-2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7" t="s">
        <v>331</v>
      </c>
      <c r="C32" s="33">
        <f>Inputs!$C$42</f>
        <v>0.15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7" t="s">
        <v>332</v>
      </c>
      <c r="C33" s="26">
        <f>N15/(C28-C31)</f>
        <v>2241346.5582655827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7" t="s">
        <v>333</v>
      </c>
      <c r="C34" s="26">
        <f>C33*M18</f>
        <v>868234.95638502575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7" t="s">
        <v>334</v>
      </c>
      <c r="C35" s="26">
        <f>SUM(D19:M19)</f>
        <v>144179.33154670254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7" t="s">
        <v>335</v>
      </c>
      <c r="C36" s="26">
        <f>C34+C35</f>
        <v>1012414.2879317283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7" t="s">
        <v>157</v>
      </c>
      <c r="C37" s="33">
        <f>Inputs!$C$43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7" t="s">
        <v>336</v>
      </c>
      <c r="C38" s="26">
        <f>C36*Inputs!$C$44</f>
        <v>506207.14396586415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6" t="s">
        <v>41</v>
      </c>
      <c r="C39" s="57">
        <f>C36*(1-C37)+C38*C37</f>
        <v>1012414.2879317283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7" t="s">
        <v>47</v>
      </c>
      <c r="C40" s="21">
        <f>Inputs!$C$16</f>
        <v>39364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7" t="s">
        <v>50</v>
      </c>
      <c r="C41" s="21">
        <f>Inputs!$C$18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7" t="s">
        <v>52</v>
      </c>
      <c r="C42" s="21">
        <f>Inputs!$C$15</f>
        <v>100009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7" t="s">
        <v>55</v>
      </c>
      <c r="C43" s="21">
        <f>Inputs!$C$19</f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7" t="s">
        <v>58</v>
      </c>
      <c r="C44" s="21">
        <f>Inputs!$C$20</f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6" t="s">
        <v>337</v>
      </c>
      <c r="C45" s="57">
        <f>C39-C40-C41+C42+C43+C44</f>
        <v>1073059.2879317282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7" t="s">
        <v>338</v>
      </c>
      <c r="C46" s="21">
        <f>Inputs!$C$25</f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7" t="s">
        <v>64</v>
      </c>
      <c r="C47" s="68">
        <f>C45-C46</f>
        <v>1073059.2879317282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7" t="s">
        <v>67</v>
      </c>
      <c r="C48" s="21">
        <f>Inputs!$C$8</f>
        <v>13181.78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6" t="s">
        <v>339</v>
      </c>
      <c r="C49" s="20">
        <f>C47/C48</f>
        <v>81.404733498186744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7" t="s">
        <v>46</v>
      </c>
      <c r="C50" s="31">
        <f>Inputs!$C$7</f>
        <v>148.68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/>
      <c r="B51" s="7" t="s">
        <v>6</v>
      </c>
      <c r="C51" s="25">
        <f>C50/C49</f>
        <v>1.8264294176862799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/>
      <c r="B52" s="7" t="s">
        <v>49</v>
      </c>
      <c r="C52" s="25">
        <f>C49/C50-1</f>
        <v>-0.45248363264604019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9" t="s">
        <v>135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1"/>
      <c r="B55" s="7" t="s">
        <v>340</v>
      </c>
      <c r="C55" s="26">
        <f>Inputs!$C$28+Inputs!$C$29*MAX(0,Inputs!$C$34-1)/Inputs!$C$34+Inputs!$C$30*MAX(0,Inputs!$C$34-2)/Inputs!$C$34+Inputs!$C$31*MAX(0,Inputs!$C$34-3)/Inputs!$C$34+Inputs!$C$32*MAX(0,Inputs!$C$34-4)/Inputs!$C$34+Inputs!$C$33*MAX(0,Inputs!$C$34-5)/Inputs!$C$34</f>
        <v>17264.2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7" t="s">
        <v>341</v>
      </c>
      <c r="C56" s="26">
        <f>(Inputs!$C$29*(1&lt;=Inputs!$C$34)+Inputs!$C$30*(2&lt;=Inputs!$C$34)+Inputs!$C$31*(3&lt;=Inputs!$C$34)+Inputs!$C$32*(4&lt;=Inputs!$C$34)+Inputs!$C$33*(5&lt;=Inputs!$C$34))/Inputs!$C$34</f>
        <v>2033.8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/>
      <c r="B57" s="7" t="s">
        <v>342</v>
      </c>
      <c r="C57" s="26">
        <f>Inputs!$C$28-C56</f>
        <v>10156.200000000001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</sheetData>
  <printOptions horizontalCentered="1"/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7"/>
  <sheetViews>
    <sheetView showGridLines="0" zoomScale="85" workbookViewId="0"/>
  </sheetViews>
  <sheetFormatPr defaultRowHeight="14.5" x14ac:dyDescent="0.35"/>
  <cols>
    <col min="1" max="1" width="2" customWidth="1"/>
    <col min="2" max="2" width="30" customWidth="1"/>
    <col min="3" max="7" width="13" customWidth="1"/>
    <col min="8" max="8" width="7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0" x14ac:dyDescent="0.4">
      <c r="A2" s="1"/>
      <c r="B2" s="17" t="s">
        <v>23</v>
      </c>
      <c r="C2" s="1"/>
      <c r="D2" s="1"/>
      <c r="E2" s="1"/>
      <c r="F2" s="1"/>
      <c r="G2" s="1"/>
      <c r="H2" s="1"/>
    </row>
    <row r="3" spans="1:8" x14ac:dyDescent="0.35">
      <c r="A3" s="1"/>
      <c r="B3" s="18" t="s">
        <v>343</v>
      </c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9" t="s">
        <v>344</v>
      </c>
      <c r="C5" s="2"/>
      <c r="D5" s="2"/>
      <c r="E5" s="2"/>
      <c r="F5" s="2"/>
      <c r="G5" s="2"/>
      <c r="H5" s="2"/>
    </row>
    <row r="6" spans="1:8" ht="30" customHeight="1" x14ac:dyDescent="0.35">
      <c r="A6" s="1"/>
      <c r="B6" s="1"/>
      <c r="C6" s="69" t="s">
        <v>345</v>
      </c>
      <c r="D6" s="69" t="s">
        <v>346</v>
      </c>
      <c r="E6" s="69" t="s">
        <v>347</v>
      </c>
      <c r="F6" s="69" t="s">
        <v>348</v>
      </c>
      <c r="G6" s="1"/>
      <c r="H6" s="79" t="s">
        <v>349</v>
      </c>
    </row>
    <row r="7" spans="1:8" x14ac:dyDescent="0.35">
      <c r="A7" s="1"/>
      <c r="B7" s="1"/>
      <c r="C7" s="33">
        <f>Inputs!$C$72</f>
        <v>0.110999</v>
      </c>
      <c r="D7" s="33">
        <f>DCF!C7/Inputs!$C$23-1</f>
        <v>0.23401520831102074</v>
      </c>
      <c r="E7" s="33">
        <f>DCF!D8</f>
        <v>0.85909853613377307</v>
      </c>
      <c r="F7" s="25">
        <f>(DCF!H7/DCF!D7)^(1/4)-1</f>
        <v>0.29912515107770576</v>
      </c>
      <c r="G7" s="1"/>
      <c r="H7" s="80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9" t="s">
        <v>350</v>
      </c>
      <c r="C9" s="2"/>
      <c r="D9" s="2"/>
      <c r="E9" s="2"/>
      <c r="F9" s="2"/>
      <c r="G9" s="2"/>
      <c r="H9" s="2"/>
    </row>
    <row r="10" spans="1:8" ht="30" customHeight="1" x14ac:dyDescent="0.35">
      <c r="A10" s="1"/>
      <c r="B10" s="1"/>
      <c r="C10" s="69" t="s">
        <v>351</v>
      </c>
      <c r="D10" s="69" t="s">
        <v>287</v>
      </c>
      <c r="E10" s="69" t="s">
        <v>291</v>
      </c>
      <c r="F10" s="69" t="s">
        <v>296</v>
      </c>
      <c r="G10" s="1"/>
      <c r="H10" s="79" t="s">
        <v>352</v>
      </c>
    </row>
    <row r="11" spans="1:8" x14ac:dyDescent="0.35">
      <c r="A11" s="1"/>
      <c r="B11" s="1"/>
      <c r="C11" s="21">
        <f>DCF!C7</f>
        <v>23044</v>
      </c>
      <c r="D11" s="21">
        <f>DCF!D7</f>
        <v>42841.066666666666</v>
      </c>
      <c r="E11" s="21">
        <f>DCF!H7</f>
        <v>122029.33333333334</v>
      </c>
      <c r="F11" s="21">
        <f>DCF!M7</f>
        <v>420000</v>
      </c>
      <c r="G11" s="1"/>
      <c r="H11" s="80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9" t="s">
        <v>353</v>
      </c>
      <c r="C13" s="2"/>
      <c r="D13" s="2"/>
      <c r="E13" s="2"/>
      <c r="F13" s="2"/>
      <c r="G13" s="2"/>
      <c r="H13" s="2"/>
    </row>
    <row r="14" spans="1:8" ht="30" customHeight="1" x14ac:dyDescent="0.35">
      <c r="A14" s="1"/>
      <c r="B14" s="1"/>
      <c r="C14" s="69" t="s">
        <v>354</v>
      </c>
      <c r="D14" s="69" t="s">
        <v>355</v>
      </c>
      <c r="E14" s="69" t="s">
        <v>291</v>
      </c>
      <c r="F14" s="69" t="s">
        <v>296</v>
      </c>
      <c r="G14" s="1"/>
      <c r="H14" s="79" t="s">
        <v>356</v>
      </c>
    </row>
    <row r="15" spans="1:8" x14ac:dyDescent="0.35">
      <c r="A15" s="1"/>
      <c r="B15" s="1"/>
      <c r="C15" s="33">
        <f>Inputs!$C$73</f>
        <v>8.7653999999999996E-2</v>
      </c>
      <c r="D15" s="33">
        <f>DCF!C9</f>
        <v>0.27877972574205873</v>
      </c>
      <c r="E15" s="33">
        <f>DCF!H9</f>
        <v>0.22257976224295797</v>
      </c>
      <c r="F15" s="33">
        <f>DCF!M9</f>
        <v>0.38095238095238093</v>
      </c>
      <c r="G15" s="1"/>
      <c r="H15" s="80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9" t="s">
        <v>357</v>
      </c>
      <c r="C17" s="2"/>
      <c r="D17" s="2"/>
      <c r="E17" s="2"/>
      <c r="F17" s="2"/>
      <c r="G17" s="2"/>
      <c r="H17" s="2"/>
    </row>
    <row r="18" spans="1:8" ht="30" customHeight="1" x14ac:dyDescent="0.35">
      <c r="A18" s="1"/>
      <c r="B18" s="1"/>
      <c r="C18" s="69" t="s">
        <v>358</v>
      </c>
      <c r="D18" s="69" t="s">
        <v>359</v>
      </c>
      <c r="E18" s="69" t="s">
        <v>360</v>
      </c>
      <c r="F18" s="69" t="s">
        <v>361</v>
      </c>
      <c r="G18" s="1"/>
      <c r="H18" s="79" t="s">
        <v>362</v>
      </c>
    </row>
    <row r="19" spans="1:8" x14ac:dyDescent="0.35">
      <c r="A19" s="1"/>
      <c r="B19" s="1"/>
      <c r="C19" s="46">
        <f>Inputs!$C$74</f>
        <v>2.7434099999999999</v>
      </c>
      <c r="D19" s="46">
        <f>DCF!C7/DCF!C21</f>
        <v>0.27484637990916377</v>
      </c>
      <c r="E19" s="33">
        <f>DCF!M22</f>
        <v>0.59651388114799198</v>
      </c>
      <c r="F19" s="33">
        <f>DCF!N22</f>
        <v>0.15</v>
      </c>
      <c r="G19" s="1"/>
      <c r="H19" s="80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9" t="s">
        <v>363</v>
      </c>
      <c r="C21" s="2"/>
      <c r="D21" s="2"/>
      <c r="E21" s="2"/>
      <c r="F21" s="2"/>
      <c r="G21" s="2"/>
      <c r="H21" s="2"/>
    </row>
    <row r="22" spans="1:8" ht="30" customHeight="1" x14ac:dyDescent="0.35">
      <c r="A22" s="1"/>
      <c r="B22" s="1"/>
      <c r="C22" s="69" t="s">
        <v>354</v>
      </c>
      <c r="D22" s="69" t="s">
        <v>364</v>
      </c>
      <c r="E22" s="69" t="s">
        <v>365</v>
      </c>
      <c r="F22" s="69" t="s">
        <v>366</v>
      </c>
      <c r="G22" s="1"/>
      <c r="H22" s="79" t="s">
        <v>367</v>
      </c>
    </row>
    <row r="23" spans="1:8" x14ac:dyDescent="0.35">
      <c r="A23" s="1"/>
      <c r="B23" s="1"/>
      <c r="C23" s="33">
        <f>Inputs!$C$75</f>
        <v>7.6014999999999999E-2</v>
      </c>
      <c r="D23" s="33">
        <f>DCF!D17</f>
        <v>0.10416279004284928</v>
      </c>
      <c r="E23" s="25">
        <f>(1/DCF!M18)^(1/10)-1</f>
        <v>9.9479596886653532E-2</v>
      </c>
      <c r="F23" s="33">
        <f>DCF!N17</f>
        <v>8.8599999999999998E-2</v>
      </c>
      <c r="G23" s="1"/>
      <c r="H23" s="80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9" t="s">
        <v>368</v>
      </c>
      <c r="C25" s="2"/>
      <c r="D25" s="2"/>
      <c r="E25" s="2"/>
      <c r="F25" s="2"/>
      <c r="G25" s="2"/>
      <c r="H25" s="2"/>
    </row>
    <row r="26" spans="1:8" ht="30" customHeight="1" x14ac:dyDescent="0.35">
      <c r="A26" s="1"/>
      <c r="B26" s="1"/>
      <c r="C26" s="69" t="s">
        <v>369</v>
      </c>
      <c r="D26" s="69" t="s">
        <v>370</v>
      </c>
      <c r="E26" s="1"/>
      <c r="F26" s="1"/>
      <c r="G26" s="1"/>
      <c r="H26" s="79" t="s">
        <v>371</v>
      </c>
    </row>
    <row r="27" spans="1:8" x14ac:dyDescent="0.35">
      <c r="A27" s="1"/>
      <c r="B27" s="1"/>
      <c r="C27" s="33">
        <f>DCF!C49/DCF!C50</f>
        <v>0.54751636735395981</v>
      </c>
      <c r="D27" s="7" t="str">
        <f>IF(DCF!C49/DCF!C50&lt;0.5,"Value low: revisit",IF(DCF!C49/DCF!C50&gt;2,"Value high: revisit","Within 0.5x-2x"))</f>
        <v>Within 0.5x-2x</v>
      </c>
      <c r="E27" s="1"/>
      <c r="F27" s="1"/>
      <c r="G27" s="1"/>
      <c r="H27" s="80"/>
    </row>
  </sheetData>
  <mergeCells count="6">
    <mergeCell ref="H14:H15"/>
    <mergeCell ref="H26:H27"/>
    <mergeCell ref="H22:H23"/>
    <mergeCell ref="H6:H7"/>
    <mergeCell ref="H10:H11"/>
    <mergeCell ref="H18:H19"/>
  </mergeCells>
  <printOptions horizontalCentered="1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19"/>
  <sheetViews>
    <sheetView showGridLines="0" zoomScale="85" workbookViewId="0"/>
  </sheetViews>
  <sheetFormatPr defaultRowHeight="14.5" x14ac:dyDescent="0.35"/>
  <cols>
    <col min="1" max="1" width="2" customWidth="1"/>
    <col min="2" max="2" width="6" customWidth="1"/>
    <col min="3" max="3" width="62" customWidth="1"/>
    <col min="4" max="5" width="16" customWidth="1"/>
    <col min="6" max="6" width="12" customWidth="1"/>
    <col min="7" max="7" width="60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ht="20" x14ac:dyDescent="0.4">
      <c r="A2" s="1"/>
      <c r="B2" s="17" t="s">
        <v>372</v>
      </c>
      <c r="C2" s="1"/>
      <c r="D2" s="1"/>
      <c r="E2" s="1"/>
      <c r="F2" s="1"/>
      <c r="G2" s="1"/>
    </row>
    <row r="3" spans="1:7" x14ac:dyDescent="0.35">
      <c r="A3" s="1"/>
      <c r="B3" s="18" t="s">
        <v>373</v>
      </c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22" t="s">
        <v>213</v>
      </c>
      <c r="C5" s="22" t="s">
        <v>374</v>
      </c>
      <c r="D5" s="22" t="s">
        <v>375</v>
      </c>
      <c r="E5" s="22" t="s">
        <v>376</v>
      </c>
      <c r="F5" s="22" t="s">
        <v>377</v>
      </c>
      <c r="G5" s="22" t="s">
        <v>378</v>
      </c>
    </row>
    <row r="6" spans="1:7" x14ac:dyDescent="0.35">
      <c r="A6" s="1"/>
      <c r="B6" s="44">
        <v>1</v>
      </c>
      <c r="C6" s="7" t="s">
        <v>379</v>
      </c>
      <c r="D6" s="26" t="str">
        <f>IF(AND(Scenarios!$D$5=1,Sensitivity!$C$5=0,Sensitivity!$C$6=0,Sensitivity!$C$7=1,Sensitivity!$C$8=0,Sensitivity!$C$9=0),"Base","Flexed")</f>
        <v>Base</v>
      </c>
      <c r="E6" s="26" t="str">
        <f>"Base"</f>
        <v>Base</v>
      </c>
      <c r="F6" s="7" t="b">
        <f>AND(Scenarios!$D$5=1,Sensitivity!$C$5=0,Sensitivity!$C$6=0,Sensitivity!$C$7=1,Sensitivity!$C$8=0,Sensitivity!$C$9=0)</f>
        <v>1</v>
      </c>
      <c r="G6" s="16" t="s">
        <v>380</v>
      </c>
    </row>
    <row r="7" spans="1:7" x14ac:dyDescent="0.35">
      <c r="A7" s="1"/>
      <c r="B7" s="44">
        <v>2</v>
      </c>
      <c r="C7" s="7" t="s">
        <v>381</v>
      </c>
      <c r="D7" s="71">
        <f>ValuePerShare</f>
        <v>81.404733498186744</v>
      </c>
      <c r="E7" s="72">
        <v>81.404733499804223</v>
      </c>
      <c r="F7" s="7" t="b">
        <f>IF(AND(Scenarios!$D$5=1,Sensitivity!$C$5=0,Sensitivity!$C$6=0,Sensitivity!$C$7=1,Sensitivity!$C$8=0,Sensitivity!$C$9=0),ABS(D7-E7)&lt;0.005,TRUE)</f>
        <v>1</v>
      </c>
      <c r="G7" s="16" t="s">
        <v>382</v>
      </c>
    </row>
    <row r="8" spans="1:7" x14ac:dyDescent="0.35">
      <c r="A8" s="1"/>
      <c r="B8" s="44">
        <v>3</v>
      </c>
      <c r="C8" s="7" t="s">
        <v>383</v>
      </c>
      <c r="D8" s="73">
        <f>WACC_Initial</f>
        <v>0.10416279004284928</v>
      </c>
      <c r="E8" s="74">
        <v>0.10416279003952569</v>
      </c>
      <c r="F8" s="7" t="b">
        <f>IF(AND(Scenarios!$D$5=1,Sensitivity!$C$5=0,Sensitivity!$C$6=0,Sensitivity!$C$7=1,Sensitivity!$C$8=0,Sensitivity!$C$9=0),ABS(D8-E8)&lt;0.000001,TRUE)</f>
        <v>1</v>
      </c>
      <c r="G8" s="16" t="s">
        <v>384</v>
      </c>
    </row>
    <row r="9" spans="1:7" x14ac:dyDescent="0.35">
      <c r="A9" s="1"/>
      <c r="B9" s="44">
        <v>4</v>
      </c>
      <c r="C9" s="7" t="s">
        <v>385</v>
      </c>
      <c r="D9" s="71">
        <f>MAX(ABS(Scenarios!K8-81.4047334998042),ABS(Scenarios!K9-88.9136073497478),ABS(Scenarios!K10-89.5855876628464),ABS(Scenarios!K11-95.8888391206215),ABS(Scenarios!K12-72.5180122798146),ABS(Scenarios!K13-73.1403616659594),ABS(Scenarios!K14-89.6691053336489),ABS(Scenarios!K15-75.1352786215379),ABS(Scenarios!K16-87.6741883780705),ABS(Scenarios!K17-77.4370478757327),ABS(Scenarios!K18-62.577650815443),ABS(Scenarios!K19-100.231816184165))</f>
        <v>2.0168755554550444E-9</v>
      </c>
      <c r="E9" s="72">
        <v>0</v>
      </c>
      <c r="F9" s="7" t="b">
        <f>D9&lt;0.01</f>
        <v>1</v>
      </c>
      <c r="G9" s="16" t="s">
        <v>386</v>
      </c>
    </row>
    <row r="10" spans="1:7" x14ac:dyDescent="0.35">
      <c r="A10" s="1"/>
      <c r="B10" s="44">
        <v>5</v>
      </c>
      <c r="C10" s="7" t="s">
        <v>387</v>
      </c>
      <c r="D10" s="26">
        <f>DCF!M7</f>
        <v>420000</v>
      </c>
      <c r="E10" s="26">
        <f>SUM(Segments!D10:D13)</f>
        <v>420000</v>
      </c>
      <c r="F10" s="7" t="b">
        <f>ABS(D10-E10)&lt;0.001</f>
        <v>1</v>
      </c>
      <c r="G10" s="16" t="s">
        <v>388</v>
      </c>
    </row>
    <row r="11" spans="1:7" x14ac:dyDescent="0.35">
      <c r="A11" s="1"/>
      <c r="B11" s="44">
        <v>6</v>
      </c>
      <c r="C11" s="7" t="s">
        <v>389</v>
      </c>
      <c r="D11" s="29">
        <f>DCF!C31</f>
        <v>5.1700000000000003E-2</v>
      </c>
      <c r="E11" s="29">
        <f>DCF!C29</f>
        <v>5.1700000000000003E-2</v>
      </c>
      <c r="F11" s="7" t="b">
        <f>D11&lt;=E11+0.0000001</f>
        <v>1</v>
      </c>
      <c r="G11" s="16" t="s">
        <v>390</v>
      </c>
    </row>
    <row r="12" spans="1:7" x14ac:dyDescent="0.35">
      <c r="A12" s="1"/>
      <c r="B12" s="44">
        <v>7</v>
      </c>
      <c r="C12" s="7" t="s">
        <v>391</v>
      </c>
      <c r="D12" s="29">
        <f>DCF!C32</f>
        <v>0.15</v>
      </c>
      <c r="E12" s="29">
        <f>DCF!C28</f>
        <v>8.8599999999999998E-2</v>
      </c>
      <c r="F12" s="7" t="b">
        <f>D12&gt;=E12</f>
        <v>1</v>
      </c>
      <c r="G12" s="16" t="s">
        <v>392</v>
      </c>
    </row>
    <row r="13" spans="1:7" x14ac:dyDescent="0.35">
      <c r="A13" s="1"/>
      <c r="B13" s="44">
        <v>8</v>
      </c>
      <c r="C13" s="7" t="s">
        <v>393</v>
      </c>
      <c r="D13" s="71">
        <f>Sensitivity!E18</f>
        <v>81.404733498186744</v>
      </c>
      <c r="E13" s="71">
        <f>ValuePerShare</f>
        <v>81.404733498186744</v>
      </c>
      <c r="F13" s="7" t="b">
        <f>IF(AND(Scenarios!$D$5=1,Sensitivity!$C$5=0,Sensitivity!$C$6=0,Sensitivity!$C$7=1,Sensitivity!$C$8=0,Sensitivity!$C$9=0),ABS(D13-E13)&lt;0.005,TRUE)</f>
        <v>1</v>
      </c>
      <c r="G13" s="16" t="s">
        <v>394</v>
      </c>
    </row>
    <row r="14" spans="1:7" x14ac:dyDescent="0.35">
      <c r="A14" s="1"/>
      <c r="B14" s="44">
        <v>9</v>
      </c>
      <c r="C14" s="7" t="s">
        <v>395</v>
      </c>
      <c r="D14" s="71">
        <f>Sensitivity!E29</f>
        <v>81.404733498186744</v>
      </c>
      <c r="E14" s="71">
        <f>ValuePerShare</f>
        <v>81.404733498186744</v>
      </c>
      <c r="F14" s="7" t="b">
        <f>IF(AND(Scenarios!$D$5=1,Sensitivity!$C$5=0,Sensitivity!$C$6=0,Sensitivity!$C$7=1,Sensitivity!$C$8=0,Sensitivity!$C$9=0),ABS(D14-E14)&lt;0.005,TRUE)</f>
        <v>1</v>
      </c>
      <c r="G14" s="16"/>
    </row>
    <row r="15" spans="1:7" x14ac:dyDescent="0.35">
      <c r="A15" s="1"/>
      <c r="B15" s="44">
        <v>10</v>
      </c>
      <c r="C15" s="7" t="s">
        <v>396</v>
      </c>
      <c r="D15" s="26">
        <f>DCF!C45</f>
        <v>1073059.2879317282</v>
      </c>
      <c r="E15" s="26">
        <f>DCF!C39-DCF!C40-DCF!C41+DCF!C42+DCF!C43+DCF!C44</f>
        <v>1073059.2879317282</v>
      </c>
      <c r="F15" s="7" t="b">
        <f>ABS(D15-E15)&lt;0.001</f>
        <v>1</v>
      </c>
      <c r="G15" s="16"/>
    </row>
    <row r="16" spans="1:7" x14ac:dyDescent="0.35">
      <c r="A16" s="1"/>
      <c r="B16" s="44">
        <v>11</v>
      </c>
      <c r="C16" s="7" t="s">
        <v>397</v>
      </c>
      <c r="D16" s="71">
        <f>Summary!C43</f>
        <v>81.404700000000005</v>
      </c>
      <c r="E16" s="72">
        <v>81.404733499804223</v>
      </c>
      <c r="F16" s="7" t="b">
        <f>ABS(D16-E16)&lt;0.005</f>
        <v>1</v>
      </c>
      <c r="G16" s="16" t="s">
        <v>398</v>
      </c>
    </row>
    <row r="17" spans="1:7" x14ac:dyDescent="0.35">
      <c r="A17" s="1"/>
      <c r="B17" s="44">
        <v>12</v>
      </c>
      <c r="C17" s="7" t="s">
        <v>399</v>
      </c>
      <c r="D17" s="71">
        <f>Sensitivity!E33</f>
        <v>148.65507284529679</v>
      </c>
      <c r="E17" s="71">
        <f>SharePrice</f>
        <v>148.68</v>
      </c>
      <c r="F17" s="7" t="b">
        <f>IF(AND(Scenarios!$D$5=1,Sensitivity!$C$5=0,Sensitivity!$C$6=0,Sensitivity!$C$7=1,Sensitivity!$C$8=0,Sensitivity!$C$9=0),ABS(D17-E17)&lt;0.05,TRUE)</f>
        <v>1</v>
      </c>
      <c r="G17" s="16" t="s">
        <v>400</v>
      </c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6" t="s">
        <v>401</v>
      </c>
      <c r="D19" s="1"/>
      <c r="E19" s="1"/>
      <c r="F19" s="75" t="b">
        <f>COUNTIF(F6:F17,FALSE)=0</f>
        <v>1</v>
      </c>
      <c r="G19" s="1"/>
    </row>
  </sheetData>
  <conditionalFormatting sqref="F6:F17">
    <cfRule type="cellIs" dxfId="1" priority="1" operator="equal">
      <formula>TRUE</formula>
    </cfRule>
    <cfRule type="cellIs" dxfId="0" priority="2" operator="equal">
      <formula>FALSE</formula>
    </cfRule>
  </conditionalFormatting>
  <printOptions horizontalCentered="1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24"/>
  <sheetViews>
    <sheetView showGridLines="0" zoomScale="85" workbookViewId="0"/>
  </sheetViews>
  <sheetFormatPr defaultRowHeight="14.5" x14ac:dyDescent="0.35"/>
  <cols>
    <col min="1" max="1" width="2" customWidth="1"/>
    <col min="2" max="2" width="4" customWidth="1"/>
    <col min="3" max="3" width="34" customWidth="1"/>
    <col min="4" max="4" width="110" customWidth="1"/>
  </cols>
  <sheetData>
    <row r="1" spans="1:4" x14ac:dyDescent="0.35">
      <c r="A1" s="1"/>
      <c r="B1" s="1"/>
      <c r="C1" s="1"/>
      <c r="D1" s="1"/>
    </row>
    <row r="2" spans="1:4" ht="20" x14ac:dyDescent="0.4">
      <c r="A2" s="1"/>
      <c r="B2" s="17" t="s">
        <v>402</v>
      </c>
      <c r="C2" s="1"/>
      <c r="D2" s="1"/>
    </row>
    <row r="3" spans="1:4" x14ac:dyDescent="0.35">
      <c r="A3" s="1"/>
      <c r="B3" s="18" t="s">
        <v>403</v>
      </c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9" t="s">
        <v>404</v>
      </c>
      <c r="C5" s="2"/>
      <c r="D5" s="2"/>
    </row>
    <row r="6" spans="1:4" x14ac:dyDescent="0.35">
      <c r="A6" s="1"/>
      <c r="B6" s="1"/>
      <c r="C6" s="76" t="s">
        <v>405</v>
      </c>
      <c r="D6" s="77" t="s">
        <v>406</v>
      </c>
    </row>
    <row r="7" spans="1:4" ht="25" x14ac:dyDescent="0.35">
      <c r="A7" s="1"/>
      <c r="B7" s="1"/>
      <c r="C7" s="78"/>
      <c r="D7" s="77" t="s">
        <v>407</v>
      </c>
    </row>
    <row r="8" spans="1:4" x14ac:dyDescent="0.35">
      <c r="A8" s="1"/>
      <c r="B8" s="1"/>
      <c r="C8" s="76" t="s">
        <v>101</v>
      </c>
      <c r="D8" s="77" t="s">
        <v>408</v>
      </c>
    </row>
    <row r="9" spans="1:4" x14ac:dyDescent="0.35">
      <c r="A9" s="1"/>
      <c r="B9" s="1"/>
      <c r="C9" s="78"/>
      <c r="D9" s="77" t="s">
        <v>409</v>
      </c>
    </row>
    <row r="10" spans="1:4" x14ac:dyDescent="0.35">
      <c r="A10" s="1"/>
      <c r="B10" s="1"/>
      <c r="C10" s="78"/>
      <c r="D10" s="77" t="s">
        <v>410</v>
      </c>
    </row>
    <row r="11" spans="1:4" ht="25" x14ac:dyDescent="0.35">
      <c r="A11" s="1"/>
      <c r="B11" s="1"/>
      <c r="C11" s="76" t="s">
        <v>411</v>
      </c>
      <c r="D11" s="77" t="s">
        <v>412</v>
      </c>
    </row>
    <row r="12" spans="1:4" ht="25" x14ac:dyDescent="0.35">
      <c r="A12" s="1"/>
      <c r="B12" s="1"/>
      <c r="C12" s="76" t="s">
        <v>413</v>
      </c>
      <c r="D12" s="77" t="s">
        <v>414</v>
      </c>
    </row>
    <row r="13" spans="1:4" ht="25" x14ac:dyDescent="0.35">
      <c r="A13" s="1"/>
      <c r="B13" s="1"/>
      <c r="C13" s="78"/>
      <c r="D13" s="77" t="s">
        <v>415</v>
      </c>
    </row>
    <row r="14" spans="1:4" ht="25" x14ac:dyDescent="0.35">
      <c r="A14" s="1"/>
      <c r="B14" s="1"/>
      <c r="C14" s="76" t="s">
        <v>416</v>
      </c>
      <c r="D14" s="70" t="s">
        <v>417</v>
      </c>
    </row>
    <row r="15" spans="1:4" ht="25" x14ac:dyDescent="0.35">
      <c r="A15" s="1"/>
      <c r="B15" s="1"/>
      <c r="C15" s="76" t="s">
        <v>418</v>
      </c>
      <c r="D15" s="70" t="s">
        <v>419</v>
      </c>
    </row>
    <row r="16" spans="1:4" x14ac:dyDescent="0.35">
      <c r="A16" s="1"/>
      <c r="B16" s="1"/>
      <c r="C16" s="78"/>
      <c r="D16" s="70" t="s">
        <v>420</v>
      </c>
    </row>
    <row r="17" spans="1:4" ht="25" x14ac:dyDescent="0.35">
      <c r="A17" s="1"/>
      <c r="B17" s="1"/>
      <c r="C17" s="78"/>
      <c r="D17" s="70" t="s">
        <v>421</v>
      </c>
    </row>
    <row r="18" spans="1:4" x14ac:dyDescent="0.35">
      <c r="A18" s="1"/>
      <c r="B18" s="1"/>
      <c r="C18" s="76" t="s">
        <v>422</v>
      </c>
      <c r="D18" s="70" t="s">
        <v>423</v>
      </c>
    </row>
    <row r="19" spans="1:4" ht="25" x14ac:dyDescent="0.35">
      <c r="A19" s="1"/>
      <c r="B19" s="1"/>
      <c r="C19" s="78"/>
      <c r="D19" s="70" t="s">
        <v>424</v>
      </c>
    </row>
    <row r="20" spans="1:4" ht="25" x14ac:dyDescent="0.35">
      <c r="A20" s="1"/>
      <c r="B20" s="1"/>
      <c r="C20" s="78"/>
      <c r="D20" s="70" t="s">
        <v>425</v>
      </c>
    </row>
    <row r="21" spans="1:4" x14ac:dyDescent="0.35">
      <c r="A21" s="1"/>
      <c r="B21" s="1"/>
      <c r="C21" s="78"/>
      <c r="D21" s="70" t="s">
        <v>426</v>
      </c>
    </row>
    <row r="22" spans="1:4" x14ac:dyDescent="0.35">
      <c r="A22" s="1"/>
      <c r="B22" s="1"/>
      <c r="C22" s="78"/>
      <c r="D22" s="70" t="s">
        <v>427</v>
      </c>
    </row>
    <row r="23" spans="1:4" x14ac:dyDescent="0.35">
      <c r="A23" s="1"/>
      <c r="B23" s="1"/>
      <c r="C23" s="76" t="s">
        <v>428</v>
      </c>
      <c r="D23" s="70" t="s">
        <v>429</v>
      </c>
    </row>
    <row r="24" spans="1:4" ht="25" x14ac:dyDescent="0.35">
      <c r="A24" s="1"/>
      <c r="B24" s="1"/>
      <c r="C24" s="76" t="s">
        <v>430</v>
      </c>
      <c r="D24" s="70" t="s">
        <v>431</v>
      </c>
    </row>
  </sheetData>
  <hyperlinks>
    <hyperlink ref="D6" r:id="rId1" xr:uid="{00000000-0004-0000-0A00-000000000000}"/>
    <hyperlink ref="D7" r:id="rId2" xr:uid="{00000000-0004-0000-0A00-000001000000}"/>
    <hyperlink ref="D8" r:id="rId3" xr:uid="{00000000-0004-0000-0A00-000002000000}"/>
    <hyperlink ref="D9" r:id="rId4" xr:uid="{00000000-0004-0000-0A00-000003000000}"/>
    <hyperlink ref="D10" r:id="rId5" xr:uid="{00000000-0004-0000-0A00-000004000000}"/>
    <hyperlink ref="D11" r:id="rId6" xr:uid="{00000000-0004-0000-0A00-000005000000}"/>
    <hyperlink ref="D12" r:id="rId7" xr:uid="{00000000-0004-0000-0A00-000006000000}"/>
    <hyperlink ref="D13" r:id="rId8" xr:uid="{00000000-0004-0000-0A00-000007000000}"/>
  </hyperlink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Cover</vt:lpstr>
      <vt:lpstr>Summary</vt:lpstr>
      <vt:lpstr>Inputs</vt:lpstr>
      <vt:lpstr>Scenarios</vt:lpstr>
      <vt:lpstr>Sensitivity</vt:lpstr>
      <vt:lpstr>WACC</vt:lpstr>
      <vt:lpstr>Segments</vt:lpstr>
      <vt:lpstr>DCF</vt:lpstr>
      <vt:lpstr>Diagnostics</vt:lpstr>
      <vt:lpstr>Checks</vt:lpstr>
      <vt:lpstr>Sources</vt:lpstr>
      <vt:lpstr>AllChecksPass</vt:lpstr>
      <vt:lpstr>OperatingAssets</vt:lpstr>
      <vt:lpstr>Summary!Print_Area</vt:lpstr>
      <vt:lpstr>SharePrice</vt:lpstr>
      <vt:lpstr>ValuePerShare</vt:lpstr>
      <vt:lpstr>WACC_Initial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2026-10-06T12:44:30Z</dcterms:created>
  <dcterms:modified xsi:type="dcterms:W3CDTF">2026-10-06T12:44:34Z</dcterms:modified>
</cp:coreProperties>
</file>